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updateLinks="never"/>
  <mc:AlternateContent xmlns:mc="http://schemas.openxmlformats.org/markup-compatibility/2006">
    <mc:Choice Requires="x15">
      <x15ac:absPath xmlns:x15ac="http://schemas.microsoft.com/office/spreadsheetml/2010/11/ac" url="/Users/mariannakotzabasaki/Desktop/usb_backup_windows/new-biodegradation-datasets/"/>
    </mc:Choice>
  </mc:AlternateContent>
  <xr:revisionPtr revIDLastSave="0" documentId="8_{89F94D5E-C38B-F849-8BF1-66CD37768A0C}" xr6:coauthVersionLast="47" xr6:coauthVersionMax="47" xr10:uidLastSave="{00000000-0000-0000-0000-000000000000}"/>
  <bookViews>
    <workbookView xWindow="340" yWindow="740" windowWidth="44220" windowHeight="22180" tabRatio="925" activeTab="1" xr2:uid="{00000000-000D-0000-FFFF-FFFF00000000}"/>
  </bookViews>
  <sheets>
    <sheet name="Materials_features" sheetId="7" r:id="rId1"/>
    <sheet name="Environmental Properties" sheetId="6" r:id="rId2"/>
    <sheet name="Biodegradation_features" sheetId="2" r:id="rId3"/>
    <sheet name="Time_points_features" sheetId="4" r:id="rId4"/>
    <sheet name="metadata" sheetId="5" r:id="rId5"/>
    <sheet name="info" sheetId="9" r:id="rId6"/>
  </sheets>
  <definedNames>
    <definedName name="_xlnm._FilterDatabase" localSheetId="2" hidden="1">Biodegradation_features!$A$1:$BI$178</definedName>
    <definedName name="_xlnm._FilterDatabase" localSheetId="1" hidden="1">'Environmental Properties'!$A$1:$AJ$134</definedName>
    <definedName name="_xlnm._FilterDatabase" localSheetId="0" hidden="1">Materials_features!$A$1:$AY$233</definedName>
    <definedName name="_xlnm._FilterDatabase" localSheetId="3" hidden="1">Time_points_features!$A$1:$BF$139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14" i="7" l="1"/>
  <c r="I215" i="7"/>
  <c r="I216" i="7"/>
  <c r="I217" i="7"/>
  <c r="I218"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9" i="7"/>
  <c r="I220" i="7"/>
  <c r="I221" i="7"/>
  <c r="I222" i="7"/>
  <c r="I223" i="7"/>
  <c r="I224" i="7"/>
  <c r="I225" i="7"/>
  <c r="I226" i="7"/>
  <c r="I227" i="7"/>
  <c r="I2" i="7"/>
  <c r="C474" i="7" l="1"/>
  <c r="C47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tc={7D8E6CDD-32B0-4951-9F63-376EE9CAA7D0}</author>
    <author>tc={14158C60-F367-4266-8149-B48CF6461043}</author>
    <author>tc={22D7D2AF-922B-4104-A477-D5C7E0A4051A}</author>
    <author>tc={01834DA1-F0AB-4DAB-A7ED-401318F0810F}</author>
    <author/>
    <author>tc={1F5274F4-FB3B-48A6-BC5E-FDA5B754BFD4}</author>
    <author>tc={EDEC38C3-D032-469C-8DD4-CC7808EB5AFA}</author>
    <author>tc={3A7C4EAD-CD8C-43A0-980E-DFAFF4ECF110}</author>
    <author>tc={B73CEAC5-2CC7-4BDF-ABD0-5227281F529D}</author>
    <author>tc={32C35727-0D88-46A9-A9CF-B60D2C6F6599}</author>
    <author>tc={6F5C34DD-848A-4B0A-B68A-798639B71913}</author>
    <author>tc={23F77DF0-ADD4-4264-8C57-C10352209DE2}</author>
    <author>tc={EDD2A5EC-3A6B-4312-857B-89343869BAB8}</author>
    <author>tc={D369DDCD-0DCC-48AF-ABCB-B834EB437878}</author>
    <author>tc={43490BEA-011A-415B-91D4-D54FAEF3AB20}</author>
    <author>tc={9CD1EBC2-EA00-44D6-A98E-2AFB1C5B21EE}</author>
    <author>tc={E78E24D7-C35E-46F9-A51D-F8376965333E}</author>
    <author>tc={9D22AB73-A88B-4FFC-804F-D02187C0FD89}</author>
    <author>tc={10D6790E-51B0-4FAA-9410-3778025941B9}</author>
    <author>tc={5276510D-58BE-468B-BED5-D4802CD1F202}</author>
    <author>tc={22AC0374-A612-42A9-9D43-73946E3FF3D3}</author>
    <author>tc={519CB8EF-29A2-41D7-B67B-07B895FB1AE8}</author>
    <author>tc={6FEA898E-5D9B-481C-AE3B-9B62340EFB1D}</author>
    <author>tc={3FE2487E-4ADF-44D3-8030-73641DC213D4}</author>
    <author>tc={A083F23D-D120-4D34-8B7C-AB265AAA7AA2}</author>
    <author>tc={E69A32CC-9C35-4C32-8ECC-B0C622C88CA6}</author>
    <author>tc={5D50345E-24FC-4610-9F7F-4D29A5BBB9BE}</author>
    <author>tc={54ABE66C-9EF4-4215-93D9-91B68390EF68}</author>
    <author>tc={3427D479-894B-4F97-BF74-9B4CE999A62C}</author>
    <author>tc={08C768F7-DD91-4462-A94A-389A03A49B70}</author>
    <author>tc={F08388A0-C346-4FF7-AC67-9BE65B718EAD}</author>
    <author>tc={24D47814-A1C9-4ABC-B403-18B6DBAFBB82}</author>
    <author>tc={47A90F78-C4EC-4837-B2E9-ADE655853856}</author>
    <author>tc={D40904FE-B620-4922-96E3-B3D6EDDEC4B3}</author>
    <author>tc={0F0A5FB1-2CDB-408A-AD6A-9DC4AFA18929}</author>
    <author>tc={43A75D15-4A45-44FE-ADCA-320AA232571A}</author>
    <author>tc={D01CE671-EFC9-45E0-9A35-453D74603D9F}</author>
    <author>tc={6FEF2CEE-F208-467C-B812-0DD6F13290E1}</author>
    <author>tc={9A5295AC-2EAC-418E-9396-5B0D6925C615}</author>
    <author>tc={6B9BD9DE-8182-480F-A10D-4C46E1586430}</author>
    <author>tc={57797A70-BB47-4657-BFA4-9D01575B612D}</author>
    <author>tc={2E06B251-05B8-4F22-A0E8-35A834FEF511}</author>
    <author>tc={FE2D2E91-A6FD-4F7E-9488-355FFCFF22A1}</author>
    <author>user</author>
    <author>tc={DD4AF3B9-9262-44B4-8D4C-C591AAF1CFFF}</author>
    <author>tc={458F97D4-EC98-4EB8-AD7C-8E639D715518}</author>
    <author>tc={28D49C3D-7C41-48F2-A559-422D1D69FFA6}</author>
    <author>tc={7F1B3C5B-806A-4823-BB33-035696034270}</author>
    <author>tc={1BD60BF9-5C52-43EC-A910-446B10DF7174}</author>
    <author>tc={4199F52A-BF3A-4817-AB72-254DC96FA292}</author>
    <author>tc={FA23BEB2-93FD-44A7-B8CA-158EEF74A1A5}</author>
    <author>tc={A826C0F2-921A-4042-93A1-B88D57F8806A}</author>
    <author>tc={2C37DACD-28EA-49EC-9ED6-7D35E0572C54}</author>
    <author>tc={189313B6-C34E-4BBE-8DE9-B7A0F63F6419}</author>
    <author>tc={85710F72-8EE7-41B0-9B2A-BB4F99DF6E94}</author>
  </authors>
  <commentList>
    <comment ref="M1" authorId="0" shapeId="0" xr:uid="{7D8E6CDD-32B0-4951-9F63-376EE9CAA7D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P1" authorId="1" shapeId="0" xr:uid="{14158C60-F367-4266-8149-B48CF646104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S1" authorId="2" shapeId="0" xr:uid="{22D7D2AF-922B-4104-A477-D5C7E0A4051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 %????</t>
      </text>
    </comment>
    <comment ref="T1" authorId="3" shapeId="0" xr:uid="{01834DA1-F0AB-4DAB-A7ED-401318F0810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Wt/wt%?</t>
      </text>
    </comment>
    <comment ref="W1" authorId="4" shapeId="0" xr:uid="{3F9F7999-A9C8-4869-85D5-9A9F7AF7133E}">
      <text>
        <r>
          <rPr>
            <sz val="11"/>
            <color rgb="FF000000"/>
            <rFont val="Calibri"/>
            <family val="2"/>
            <charset val="161"/>
          </rPr>
          <t xml:space="preserve">======
</t>
        </r>
        <r>
          <rPr>
            <sz val="11"/>
            <color rgb="FF000000"/>
            <rFont val="Calibri"/>
            <family val="2"/>
            <charset val="161"/>
          </rPr>
          <t xml:space="preserve">ID#AAABfcpE4pk
</t>
        </r>
        <r>
          <rPr>
            <sz val="11"/>
            <color rgb="FF000000"/>
            <rFont val="Calibri"/>
            <family val="2"/>
            <charset val="161"/>
          </rPr>
          <t xml:space="preserve">Αλέξανδρος Αγγελής    (2025-03-07 08:21:00)
</t>
        </r>
        <r>
          <rPr>
            <sz val="11"/>
            <color rgb="FF000000"/>
            <rFont val="Calibri"/>
            <family val="2"/>
            <charset val="161"/>
          </rPr>
          <t xml:space="preserve">weight-average molecular weight
</t>
        </r>
        <r>
          <rPr>
            <sz val="11"/>
            <color rgb="FF000000"/>
            <rFont val="Calibri"/>
            <family val="2"/>
            <charset val="161"/>
          </rPr>
          <t xml:space="preserve">
</t>
        </r>
        <r>
          <rPr>
            <sz val="11"/>
            <color rgb="FF000000"/>
            <rFont val="Calibri"/>
            <family val="2"/>
            <charset val="161"/>
          </rPr>
          <t xml:space="preserve"> 1 KDa is 1000 g/mol
</t>
        </r>
        <r>
          <rPr>
            <sz val="11"/>
            <color rgb="FF000000"/>
            <rFont val="Calibri"/>
            <family val="2"/>
            <charset val="161"/>
          </rPr>
          <t>1 da = 1g/mol</t>
        </r>
      </text>
    </comment>
    <comment ref="AA1" authorId="4" shapeId="0" xr:uid="{7E067D66-D53C-49F0-97A1-2B6507E2CA3F}">
      <text>
        <r>
          <rPr>
            <sz val="11"/>
            <color theme="1"/>
            <rFont val="Calibri"/>
            <family val="2"/>
            <charset val="161"/>
            <scheme val="minor"/>
          </rPr>
          <t>======
ID#AAABfcpE4p4
Αλέξανδρος Αγγελής    (2025-03-07 08:21:00)
number-average molecular weight
1kda= 1000 g/mol</t>
        </r>
      </text>
    </comment>
    <comment ref="AC1" authorId="4" shapeId="0" xr:uid="{3ECD416B-93ED-46F1-9663-5194485EA87D}">
      <text>
        <r>
          <rPr>
            <sz val="11"/>
            <color theme="1"/>
            <rFont val="Calibri"/>
            <family val="2"/>
            <charset val="161"/>
            <scheme val="minor"/>
          </rPr>
          <t>======
ID#AAABfcpE4pE
polydispercity index    (2025-03-07 08:21:00)
Mw/Mn</t>
        </r>
      </text>
    </comment>
    <comment ref="AK1" authorId="4" shapeId="0" xr:uid="{B188AA98-61E3-4DB2-BFDD-403C4AA1B3F5}">
      <text>
        <r>
          <rPr>
            <sz val="11"/>
            <color theme="1"/>
            <rFont val="Calibri"/>
            <family val="2"/>
            <charset val="161"/>
            <scheme val="minor"/>
          </rPr>
          <t>======
ID#AAABfiKfOLs
Alexandros Angelis    (2025-03-11 07:48:45)
for spheres, particles</t>
        </r>
      </text>
    </comment>
    <comment ref="AL1" authorId="4" shapeId="0" xr:uid="{D6D4A6A5-68AE-4C12-BABF-0DCF86BC9DDA}">
      <text>
        <r>
          <rPr>
            <sz val="11"/>
            <color theme="1"/>
            <rFont val="Calibri"/>
            <family val="2"/>
            <charset val="161"/>
            <scheme val="minor"/>
          </rPr>
          <t>======
ID#AAABfiKfOLw
Alexandros Angelis    (2025-03-11 07:50:01)
for films, tubes</t>
        </r>
      </text>
    </comment>
    <comment ref="AM1" authorId="4" shapeId="0" xr:uid="{0596DEC7-E415-47F6-BDB9-C91FACAA724B}">
      <text>
        <r>
          <rPr>
            <sz val="11"/>
            <color theme="1"/>
            <rFont val="Calibri"/>
            <family val="2"/>
            <charset val="161"/>
            <scheme val="minor"/>
          </rPr>
          <t>======
ID#AAABfiKfOL0
Alexandros Angelis    (2025-03-11 07:50:19)
for films</t>
        </r>
      </text>
    </comment>
    <comment ref="AN1" authorId="5" shapeId="0" xr:uid="{1F5274F4-FB3B-48A6-BC5E-FDA5B754BF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For films</t>
      </text>
    </comment>
    <comment ref="AP1" authorId="6" shapeId="0" xr:uid="{EDEC38C3-D032-469C-8DD4-CC7808EB5AF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swelling</t>
      </text>
    </comment>
    <comment ref="C4" authorId="7" shapeId="0" xr:uid="{3A7C4EAD-CD8C-43A0-980E-DFAFF4ECF11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D4" authorId="8" shapeId="0" xr:uid="{B73CEAC5-2CC7-4BDF-ABD0-5227281F529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*Sample ratio = P(3HB-co-6%3HV): Natural polymer </t>
      </text>
    </comment>
    <comment ref="C52" authorId="9" shapeId="0" xr:uid="{32C35727-0D88-46A9-A9CF-B60D2C6F659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3" authorId="10" shapeId="0" xr:uid="{6F5C34DD-848A-4B0A-B68A-798639B7191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4" authorId="11" shapeId="0" xr:uid="{23F77DF0-ADD4-4264-8C57-C10352209DE2}">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5" authorId="12" shapeId="0" xr:uid="{EDD2A5EC-3A6B-4312-857B-89343869BAB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6" authorId="13" shapeId="0" xr:uid="{D369DDCD-0DCC-48AF-ABCB-B834EB437878}">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7" authorId="14" shapeId="0" xr:uid="{43490BEA-011A-415B-91D4-D54FAEF3AB2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8" authorId="15" shapeId="0" xr:uid="{9CD1EBC2-EA00-44D6-A98E-2AFB1C5B21E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59" authorId="16" shapeId="0" xr:uid="{E78E24D7-C35E-46F9-A51D-F8376965333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C60" authorId="17" shapeId="0" xr:uid="{9D22AB73-A88B-4FFC-804F-D02187C0FD8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1" authorId="18" shapeId="0" xr:uid="{10D6790E-51B0-4FAA-9410-3778025941B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2" authorId="19" shapeId="0" xr:uid="{5276510D-58BE-468B-BED5-D4802CD1F20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3" authorId="20" shapeId="0" xr:uid="{22AC0374-A612-42A9-9D43-73946E3FF3D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4" authorId="21" shapeId="0" xr:uid="{519CB8EF-29A2-41D7-B67B-07B895FB1AE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5" authorId="22" shapeId="0" xr:uid="{6FEA898E-5D9B-481C-AE3B-9B62340EFB1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6" authorId="23" shapeId="0" xr:uid="{3FE2487E-4ADF-44D3-8030-73641DC213D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7" authorId="24" shapeId="0" xr:uid="{A083F23D-D120-4D34-8B7C-AB265AAA7AA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8" authorId="25" shapeId="0" xr:uid="{E69A32CC-9C35-4C32-8ECC-B0C622C88C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69" authorId="26" shapeId="0" xr:uid="{5D50345E-24FC-4610-9F7F-4D29A5BBB9B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0" authorId="27" shapeId="0" xr:uid="{54ABE66C-9EF4-4215-93D9-91B68390EF6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1" authorId="28" shapeId="0" xr:uid="{3427D479-894B-4F97-BF74-9B4CE999A62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2" authorId="29" shapeId="0" xr:uid="{08C768F7-DD91-4462-A94A-389A03A49B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3" authorId="30" shapeId="0" xr:uid="{F08388A0-C346-4FF7-AC67-9BE65B718EA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4" authorId="31" shapeId="0" xr:uid="{24D47814-A1C9-4ABC-B403-18B6DBAFBB8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C75" authorId="32" shapeId="0" xr:uid="{47A90F78-C4EC-4837-B2E9-ADE65585385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R92" authorId="33" shapeId="0" xr:uid="{D40904FE-B620-4922-96E3-B3D6EDDEC4B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Or grafting agent
Απάντηση:
    Or compatibilizer</t>
      </text>
    </comment>
    <comment ref="C138" authorId="34" shapeId="0" xr:uid="{0F0A5FB1-2CDB-408A-AD6A-9DC4AFA1892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ΜΑSS loss %
</t>
      </text>
    </comment>
    <comment ref="C152" authorId="35" shapeId="0" xr:uid="{43A75D15-4A45-44FE-ADCA-320AA232571A}">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3" authorId="36" shapeId="0" xr:uid="{D01CE671-EFC9-45E0-9A35-453D74603D9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4" authorId="37" shapeId="0" xr:uid="{6FEF2CEE-F208-467C-B812-0DD6F13290E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5" authorId="38" shapeId="0" xr:uid="{9A5295AC-2EAC-418E-9396-5B0D6925C61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6" authorId="39" shapeId="0" xr:uid="{6B9BD9DE-8182-480F-A10D-4C46E1586430}">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7" authorId="40" shapeId="0" xr:uid="{57797A70-BB47-4657-BFA4-9D01575B612D}">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58" authorId="41" shapeId="0" xr:uid="{2E06B251-05B8-4F22-A0E8-35A834FEF51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73" authorId="42" shapeId="0" xr:uid="{FE2D2E91-A6FD-4F7E-9488-355FFCFF22A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AL205" authorId="43" shapeId="0" xr:uid="{FBC67F09-B964-4E0F-BE04-3318FB1934D8}">
      <text>
        <r>
          <rPr>
            <b/>
            <sz val="9"/>
            <color rgb="FF000000"/>
            <rFont val="Tahoma"/>
            <family val="2"/>
            <charset val="161"/>
          </rPr>
          <t>user:</t>
        </r>
        <r>
          <rPr>
            <sz val="9"/>
            <color rgb="FF000000"/>
            <rFont val="Tahoma"/>
            <family val="2"/>
            <charset val="161"/>
          </rPr>
          <t xml:space="preserve">
</t>
        </r>
        <r>
          <rPr>
            <sz val="9"/>
            <color rgb="FF000000"/>
            <rFont val="Tahoma"/>
            <family val="2"/>
            <charset val="161"/>
          </rPr>
          <t>the 2 film samples were cut only for biodegradation testing</t>
        </r>
      </text>
    </comment>
    <comment ref="C207" authorId="44" shapeId="0" xr:uid="{DD4AF3B9-9262-44B4-8D4C-C591AAF1CFF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08" authorId="45" shapeId="0" xr:uid="{458F97D4-EC98-4EB8-AD7C-8E639D71551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10" authorId="46" shapeId="0" xr:uid="{28D49C3D-7C41-48F2-A559-422D1D69FFA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211" authorId="47" shapeId="0" xr:uid="{7F1B3C5B-806A-4823-BB33-03569603427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219" authorId="48" shapeId="0" xr:uid="{1BD60BF9-5C52-43EC-A910-446B10DF71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0" authorId="49" shapeId="0" xr:uid="{4199F52A-BF3A-4817-AB72-254DC96FA29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K220" authorId="50" shapeId="0" xr:uid="{FA23BEB2-93FD-44A7-B8CA-158EEF74A1A5}">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alpha-cellulose </t>
      </text>
    </comment>
    <comment ref="A221" authorId="51" shapeId="0" xr:uid="{A826C0F2-921A-4042-93A1-B88D57F8806A}">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2" authorId="52" shapeId="0" xr:uid="{2C37DACD-28EA-49EC-9ED6-7D35E0572C5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223" authorId="53" shapeId="0" xr:uid="{189313B6-C34E-4BBE-8DE9-B7A0F63F641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C224" authorId="54" shapeId="0" xr:uid="{85710F72-8EE7-41B0-9B2A-BB4F99DF6E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tc={BCA8AB53-DE37-4739-BEEF-6EC358A73DDC}</author>
    <author>tc={EB6FF6A2-FBAD-4698-AEDA-CD829E86FCEF}</author>
    <author>tc={2BF55696-9D08-45CC-ABA6-339C2DB52393}</author>
    <author>tc={527EB770-3303-422F-A611-A3DE014FDCCC}</author>
    <author>tc={C6D57307-7B44-42F0-9411-A4358B37A2BB}</author>
    <author>tc={24AB02C5-D27D-4F6A-AC38-3B177E6103CE}</author>
    <author>tc={8C10AC47-8389-4E6A-B1DE-15132EDFE7B1}</author>
    <author>tc={AD1190C1-33C8-4413-876F-24273BCB5AA9}</author>
    <author>tc={5F1E7419-DE32-49A8-8879-D2C47CF3F551}</author>
    <author>tc={C7EE539A-CD93-47D8-BAB1-DE9257E3C163}</author>
    <author>tc={6C5959E3-9DBC-4E44-BE49-6BE19DE88848}</author>
    <author>tc={0AFD9E8B-5B06-4A8D-A1B9-399A00CDDB16}</author>
    <author>tc={DDC72998-6F87-4E2D-A914-E00E9841735F}</author>
    <author>tc={2905209F-4340-4BBB-AB87-840ED2BBCC79}</author>
    <author>tc={3C023D22-C526-4D82-A872-C65590BD7394}</author>
    <author>tc={E038D946-7662-42E9-884E-F3A2464623BF}</author>
    <author>tc={2463F2DD-3C9C-4701-8E05-618FAB665C93}</author>
    <author>tc={7B45118B-74F8-4621-8E17-88FCC6ADBB00}</author>
    <author>tc={1D376035-AA1A-4D8B-91B6-A55F0F13DAB5}</author>
    <author>tc={F0E650AC-E90A-48CA-A7BE-9E6694AFCEAF}</author>
    <author>tc={4B0B8F4E-B1BB-4443-9C65-18CCE324E98D}</author>
    <author>tc={86BDBFFB-6344-461C-96E2-90E88D425CE5}</author>
    <author>tc={E8E94B29-0DC9-4603-AE80-7FE8D75FE534}</author>
    <author>tc={B1311302-6193-4CFD-B6B2-E8D12143FE8B}</author>
    <author>tc={9B5F9A03-ED30-43AD-A11D-F35E56FE25A8}</author>
    <author>tc={85F2E624-D6D9-4E2B-80AE-025FEBB177B8}</author>
    <author>tc={6B6EA705-00B6-4F3C-B2B2-06D6C3309269}</author>
  </authors>
  <commentList>
    <comment ref="U1" authorId="0" shapeId="0" xr:uid="{04B0B192-2A21-470A-B9EB-07DC1F7671A3}">
      <text>
        <r>
          <rPr>
            <sz val="11"/>
            <color theme="1"/>
            <rFont val="Calibri"/>
            <family val="2"/>
            <charset val="161"/>
            <scheme val="minor"/>
          </rPr>
          <t>======
ID#AAABfcpE4pY
user1    (2025-03-07 08:21:00)
Total organic carbon amount</t>
        </r>
      </text>
    </comment>
    <comment ref="V1" authorId="0" shapeId="0" xr:uid="{07367C92-C0CE-4C9C-ACCF-7E6433F1EF3C}">
      <text>
        <r>
          <rPr>
            <sz val="11"/>
            <color theme="1"/>
            <rFont val="Calibri"/>
            <family val="2"/>
            <charset val="161"/>
            <scheme val="minor"/>
          </rPr>
          <t>======
ID#AAABfcpE4qE
user1    (2025-03-07 08:21:00)
total nitrogen amount</t>
        </r>
      </text>
    </comment>
    <comment ref="W1" authorId="0" shapeId="0" xr:uid="{E1A9DA5D-6CC1-4878-A85D-3224BF7CE314}">
      <text>
        <r>
          <rPr>
            <sz val="11"/>
            <color theme="1"/>
            <rFont val="Calibri"/>
            <family val="2"/>
            <charset val="161"/>
            <scheme val="minor"/>
          </rPr>
          <t>======
ID#AAABfcpE4pg
user1    (2025-03-07 08:21:00)
Total dry solids</t>
        </r>
      </text>
    </comment>
    <comment ref="X1" authorId="0" shapeId="0" xr:uid="{DBD826AD-8EBF-468E-872B-A5478E7A29B9}">
      <text>
        <r>
          <rPr>
            <sz val="11"/>
            <color theme="1"/>
            <rFont val="Calibri"/>
            <family val="2"/>
            <charset val="161"/>
            <scheme val="minor"/>
          </rPr>
          <t>======
ID#AAABfcpE4pQ
user1    (2025-03-07 08:21:00)
Carbon/Nitrogen ratio in medium</t>
        </r>
      </text>
    </comment>
    <comment ref="Y1" authorId="0" shapeId="0" xr:uid="{1B4892BD-3495-48C3-8E98-1BE64356EB24}">
      <text>
        <r>
          <rPr>
            <sz val="11"/>
            <color theme="1"/>
            <rFont val="Calibri"/>
            <family val="2"/>
            <charset val="161"/>
            <scheme val="minor"/>
          </rPr>
          <t>======
ID#AAABfcpE4ps
user1    (2025-03-07 08:21:00)
Volatile solids</t>
        </r>
      </text>
    </comment>
    <comment ref="Z1" authorId="1" shapeId="0" xr:uid="{BCA8AB53-DE37-4739-BEEF-6EC358A73D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Microbial_activity
Απάντηση:
    If possible do not use</t>
      </text>
    </comment>
    <comment ref="AA1" authorId="2" shapeId="0" xr:uid="{EB6FF6A2-FBAD-4698-AEDA-CD829E86FCE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*check info tab for details in picture attached</t>
      </text>
    </comment>
    <comment ref="C4" authorId="3" shapeId="0" xr:uid="{2BF55696-9D08-45CC-ABA6-339C2DB523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SOIL
Απάντηση:
    P(3HB-co-6%3HV) was produced by Cupriavidus malaysiensis </t>
      </text>
    </comment>
    <comment ref="E4" authorId="4" shapeId="0" xr:uid="{527EB770-3303-422F-A611-A3DE014FDCCC}">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
      </text>
    </comment>
    <comment ref="C52" authorId="5" shapeId="0" xr:uid="{C6D57307-7B44-42F0-9411-A4358B37A2BB}">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DRY WEIGHT LOSS </t>
      </text>
    </comment>
    <comment ref="F52" authorId="6" shapeId="0" xr:uid="{24AB02C5-D27D-4F6A-AC38-3B177E6103CE}">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Neat PHBV undergoes surface erosion, retaining mechanical properties and showing slight molecular weight loss.
</t>
      </text>
    </comment>
    <comment ref="G52" authorId="7" shapeId="0" xr:uid="{8C10AC47-8389-4E6A-B1DE-15132EDFE7B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3" authorId="8" shapeId="0" xr:uid="{AD1190C1-33C8-4413-876F-24273BCB5AA9}">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F53" authorId="9" shapeId="0" xr:uid="{5F1E7419-DE32-49A8-8879-D2C47CF3F551}">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PHA/WF composites show crack formation along the wood-PHA interface, leading to mechanical failure.
</t>
      </text>
    </comment>
    <comment ref="G53" authorId="10" shapeId="0" xr:uid="{C7EE539A-CD93-47D8-BAB1-DE9257E3C16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C54" authorId="11" shapeId="0" xr:uid="{6C5959E3-9DBC-4E44-BE49-6BE19DE8884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PHBVwith1mol%HV</t>
      </text>
    </comment>
    <comment ref="G54" authorId="12" shapeId="0" xr:uid="{0AFD9E8B-5B06-4A8D-A1B9-399A00CDDB1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Air temperature</t>
      </text>
    </comment>
    <comment ref="AC56" authorId="13" shapeId="0" xr:uid="{DDC72998-6F87-4E2D-A914-E00E9841735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The composting biodegradation tests were performed using a simulated municipal solid waste aerobic composting method. The text references a previous study (Labrecque et al., ANTEC 1995) for the composting protocol, but does not specify an ASTM or ISO standard for the biodegradation test itself </t>
      </text>
    </comment>
    <comment ref="C68" authorId="14" shapeId="0" xr:uid="{2905209F-4340-4BBB-AB87-840ED2BBCC7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ΜΑSS loss %
</t>
      </text>
    </comment>
    <comment ref="C77" authorId="15" shapeId="0" xr:uid="{3C023D22-C526-4D82-A872-C65590BD7394}">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U77" authorId="16" shapeId="0" xr:uid="{E038D946-7662-42E9-884E-F3A2464623B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TOC of the materials</t>
      </text>
    </comment>
    <comment ref="C80" authorId="17" shapeId="0" xr:uid="{2463F2DD-3C9C-4701-8E05-618FAB665C93}">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 ref="C114" authorId="18" shapeId="0" xr:uid="{7B45118B-74F8-4621-8E17-88FCC6ADBB00}">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5" authorId="19" shapeId="0" xr:uid="{1D376035-AA1A-4D8B-91B6-A55F0F13DAB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7" authorId="20" shapeId="0" xr:uid="{F0E650AC-E90A-48CA-A7BE-9E6694AFCEA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8" authorId="21" shapeId="0" xr:uid="{4B0B8F4E-B1BB-4443-9C65-18CCE324E98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26" authorId="22" shapeId="0" xr:uid="{86BDBFFB-6344-461C-96E2-90E88D425CE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7" authorId="23" shapeId="0" xr:uid="{E8E94B29-0DC9-4603-AE80-7FE8D75FE53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8" authorId="24" shapeId="0" xr:uid="{B1311302-6193-4CFD-B6B2-E8D12143FE8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9" authorId="25" shapeId="0" xr:uid="{9B5F9A03-ED30-43AD-A11D-F35E56FE25A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30" authorId="26" shapeId="0" xr:uid="{85F2E624-D6D9-4E2B-80AE-025FEBB177B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C131" authorId="27" shapeId="0" xr:uid="{6B6EA705-00B6-4F3C-B2B2-06D6C3309269}">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Y_DEG= WEIGHT LOSS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tc={09C848F9-5EA2-4214-B874-F96915AE2712}</author>
    <author>tc={8B4D9347-2368-46D1-8AD5-FCEFEBC9CBF6}</author>
    <author>tc={8A4B6B65-0D88-4FF1-BC64-6EE44961DD1F}</author>
    <author>user</author>
    <author>tc={86D552F0-0F1F-466B-9D0D-92F78984262F}</author>
    <author>tc={CB4C4DEE-084D-4089-97B5-341E4FA3B014}</author>
    <author>tc={E3FEB9AC-0FF7-4F31-AD92-7CF07A6DBD9E}</author>
    <author>tc={93E8183A-7A27-42D6-880A-6F17F46C805B}</author>
    <author>tc={446F8FCA-6139-4391-8BE9-24A0EDF8942E}</author>
    <author>tc={700191A6-46CA-489B-B7BB-C0303BBCDEC5}</author>
    <author>tc={E764038D-8A1F-4610-9DE1-42401E16C174}</author>
    <author>tc={03BA9820-5009-42DF-BB6A-FC248CA2C13C}</author>
    <author>tc={FE7C16A3-AF90-4AE3-AF26-43FC468D5DDB}</author>
  </authors>
  <commentList>
    <comment ref="D52" authorId="0" shapeId="0" xr:uid="{09C848F9-5EA2-4214-B874-F96915AE2712}">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dry weight loss !!</t>
      </text>
    </comment>
    <comment ref="D56" authorId="1" shapeId="0" xr:uid="{8B4D9347-2368-46D1-8AD5-FCEFEBC9CBF6}">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RESIDUAL WEIGHT !!</t>
      </text>
    </comment>
    <comment ref="C68" authorId="2" shapeId="0" xr:uid="{8A4B6B65-0D88-4FF1-BC64-6EE44961DD1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Mass loss %
</t>
      </text>
    </comment>
    <comment ref="C77" authorId="3" shapeId="0" xr:uid="{F82CBA84-0328-4FF9-BEC2-8164EB332EAE}">
      <text>
        <r>
          <rPr>
            <b/>
            <sz val="9"/>
            <color indexed="81"/>
            <rFont val="Tahoma"/>
            <family val="2"/>
          </rPr>
          <t>user:</t>
        </r>
        <r>
          <rPr>
            <sz val="9"/>
            <color indexed="81"/>
            <rFont val="Tahoma"/>
            <family val="2"/>
          </rPr>
          <t xml:space="preserve">
 Disintegration (D%)</t>
        </r>
      </text>
    </comment>
    <comment ref="C114" authorId="4" shapeId="0" xr:uid="{86D552F0-0F1F-466B-9D0D-92F78984262F}">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5" authorId="5" shapeId="0" xr:uid="{CB4C4DEE-084D-4089-97B5-341E4FA3B01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7" authorId="6" shapeId="0" xr:uid="{E3FEB9AC-0FF7-4F31-AD92-7CF07A6DBD9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8" authorId="7" shapeId="0" xr:uid="{93E8183A-7A27-42D6-880A-6F17F46C805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26" authorId="8" shapeId="0" xr:uid="{446F8FCA-6139-4391-8BE9-24A0EDF8942E}">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7" authorId="9" shapeId="0" xr:uid="{700191A6-46CA-489B-B7BB-C0303BBCDEC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8" authorId="10" shapeId="0" xr:uid="{E764038D-8A1F-4610-9DE1-42401E16C1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9" authorId="11" shapeId="0" xr:uid="{03BA9820-5009-42DF-BB6A-FC248CA2C13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30" authorId="12" shapeId="0" xr:uid="{FE7C16A3-AF90-4AE3-AF26-43FC468D5DD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tc={3AC67E78-D511-4B9E-B059-3FFB4E91A4FF}</author>
    <author>tc={69C6AA8D-1F17-4EC2-91F9-BAC2AFBB955B}</author>
    <author>tc={F967D919-FDAF-45A4-B431-2BACFEDCB957}</author>
    <author>tc={F3D35CEC-8CD0-441C-9B05-79F04C41ABC1}</author>
    <author>tc={4F5EB1F9-B62C-4FDC-A045-7281BA46FAC8}</author>
    <author>tc={69EB483E-6D62-495B-93D8-7E03EFE37215}</author>
    <author>tc={14ACB7AD-63B6-4E4E-9491-5065A668DD1D}</author>
    <author>tc={7E1FDD20-EBF7-4992-B2B5-8559088EB503}</author>
    <author>tc={D598DC17-0436-4F85-98D6-28BEFF747A74}</author>
    <author>tc={3A82C9AD-D98D-49E0-B307-237F199818DC}</author>
  </authors>
  <commentList>
    <comment ref="C68" authorId="0" shapeId="0" xr:uid="{3AC67E78-D511-4B9E-B059-3FFB4E91A4FF}">
      <text>
        <t xml:space="preserve">[Σχόλιο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Mass loss %
</t>
      </text>
    </comment>
    <comment ref="C114" authorId="1" shapeId="0" xr:uid="{69C6AA8D-1F17-4EC2-91F9-BAC2AFBB955B}">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5" authorId="2" shapeId="0" xr:uid="{F967D919-FDAF-45A4-B431-2BACFEDCB957}">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7" authorId="3" shapeId="0" xr:uid="{F3D35CEC-8CD0-441C-9B05-79F04C41ABC1}">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C118" authorId="4" shapeId="0" xr:uid="{4F5EB1F9-B62C-4FDC-A045-7281BA46FAC8}">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19.1% mol hv</t>
      </text>
    </comment>
    <comment ref="A126" authorId="5" shapeId="0" xr:uid="{69EB483E-6D62-495B-93D8-7E03EFE37215}">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7" authorId="6" shapeId="0" xr:uid="{14ACB7AD-63B6-4E4E-9491-5065A668DD1D}">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8" authorId="7" shapeId="0" xr:uid="{7E1FDD20-EBF7-4992-B2B5-8559088EB503}">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29" authorId="8" shapeId="0" xr:uid="{D598DC17-0436-4F85-98D6-28BEFF747A74}">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 ref="A130" authorId="9" shapeId="0" xr:uid="{3A82C9AD-D98D-49E0-B307-237F199818DC}">
      <text>
        <t>[Σχόλιο σε νήμα]
Η έκδοση του Excel που χρησιμοποιείτε επιτρέπει την ανάγνωση αυτού του σχολίου σε νήμα, ωστόσο, οι αλλαγές που θα γίνουν θα καταργηθούν αν το αρχείο ανοιχτεί σε νεότερη έκδοση του Excel. Μάθετε περισσότερα: https://go.microsoft.com/fwlink/?linkid=870924
Σχόλιο:
    disintegration</t>
      </text>
    </comment>
  </commentList>
</comments>
</file>

<file path=xl/sharedStrings.xml><?xml version="1.0" encoding="utf-8"?>
<sst xmlns="http://schemas.openxmlformats.org/spreadsheetml/2006/main" count="22658" uniqueCount="481">
  <si>
    <t>study_id</t>
  </si>
  <si>
    <t>Novel sustainable composites based on poly_hydroxybutyrate-co-hydroxyvalerate_ and seagrass beach-CAST fibers_ Performance and degradability in marine environments</t>
  </si>
  <si>
    <t>doi:10.3390/ma11050772</t>
  </si>
  <si>
    <t>Semiempirical model for predicting biodegradation profiles of individual polymers in starch-poly_β-hydroxybutyrate-co-β-hydroxyvalerate_ bioplastic</t>
  </si>
  <si>
    <t>10.1002/masy.200350707</t>
  </si>
  <si>
    <t xml:space="preserve"> Thermal and mechanical properties of poly_3-hydroxybutyrate-co-3-hydroxyvalerate_ plasticized by biodegradable soybean oils</t>
  </si>
  <si>
    <t>Biodegradation study of poly(hydroxybutyrate-co-hydroxyvalerate)halloysiteoregano essential oil</t>
  </si>
  <si>
    <t>10.1016/j.ijbiomac.2024.133768</t>
  </si>
  <si>
    <t>effect of the Presence of Lignin from Woodflour on the Compostability of PHA-Based Biocomposites</t>
  </si>
  <si>
    <t>10.3390/ polym15112481</t>
  </si>
  <si>
    <t>The Influence of Additives and Environment on Biodegradation of PHBV Biocomposites</t>
  </si>
  <si>
    <t>10.3390/polym14040838 </t>
  </si>
  <si>
    <t>Degradation of Starch±Poly(-Hydroxybutyrate-Co--Hydroxyvalerate) Bioplastic in Tropical Coastal Waters</t>
  </si>
  <si>
    <t>Biodegradability and Mechanical Properties of Poly-(f3-Hydroxybutyrate-Co-3-Hydroxyvalerate)-Starch Blends</t>
  </si>
  <si>
    <t>10.7569/JRM.2015.634127</t>
  </si>
  <si>
    <t>Biodegradation behavior of poly(3-hydroxybutyrate-co-3-hydroxyvalerate) containing phenolic compounds in seawater in laboratory testing conditions</t>
  </si>
  <si>
    <t>10.1016/j.scitotenv.2024.173920</t>
  </si>
  <si>
    <t>Soil Biodegradation of Unidirectional Polyhydroxybutyrate-Co-Valerate (PHBV) Biocomposites Toughened With Polybutylene-Adipate-Co-Terephthalate (PBAT) and Epoxidized Natural Rubber (ENR)</t>
  </si>
  <si>
    <t>10.3389/fmats.2019.00275</t>
  </si>
  <si>
    <t>Enhanced biodegradable packaging composites: Performance of poly(3-hydroxybutyrate-co-3-hydroxyvalerate) (PHBV) reinforced with propionylated abaca fiber mat</t>
  </si>
  <si>
    <t>10.1002/pc.29453</t>
  </si>
  <si>
    <t>Natural Additives for Poly (Hydroxybutyrate – CO - Hydroxyvalerate) – PHBV: Effect on Mechanical Properties and Biodegradatio</t>
  </si>
  <si>
    <t>10.1590/1516-1439.235613</t>
  </si>
  <si>
    <t>Blending Modification of PHBV/PCL and its Biodegradation by Pseudomonas mendocina</t>
  </si>
  <si>
    <t>10.1007/s10924-016-0795-2</t>
  </si>
  <si>
    <t>Insights into the biodegradation of PHA / wood composites: Micro- and macroscopic changes</t>
  </si>
  <si>
    <t>10.1016/j.susmat.2019.e00099</t>
  </si>
  <si>
    <t>10.1007/s00289-020-03286-1</t>
  </si>
  <si>
    <t>Preparation, characterization and biodegradation of blend films of poly(3‑hydroxybutyrate‑co‑3‑hydroxyvalerate) with natural biopolymer</t>
  </si>
  <si>
    <t>PHBV</t>
  </si>
  <si>
    <t>PCA20</t>
  </si>
  <si>
    <t>PCA</t>
  </si>
  <si>
    <t>PHBV/STARCH</t>
  </si>
  <si>
    <t>100/0</t>
  </si>
  <si>
    <t>90/10</t>
  </si>
  <si>
    <t>80/20</t>
  </si>
  <si>
    <t>70/30</t>
  </si>
  <si>
    <t>60/40</t>
  </si>
  <si>
    <t>50/50</t>
  </si>
  <si>
    <t>40/60</t>
  </si>
  <si>
    <t>30/70</t>
  </si>
  <si>
    <t>PHBV/STARCH/SOIL</t>
  </si>
  <si>
    <t>PHBV/CELLULOSE/SOIL</t>
  </si>
  <si>
    <t>PHBV/ALGINATE/SOIL</t>
  </si>
  <si>
    <t>PHBV/STARCH/LAKE</t>
  </si>
  <si>
    <t>PHBVCELLULOSE/LAKE</t>
  </si>
  <si>
    <t>PHBV/ALGINATE/LAKE</t>
  </si>
  <si>
    <t>PHA50W</t>
  </si>
  <si>
    <t>PHA20W</t>
  </si>
  <si>
    <t>PHA0W</t>
  </si>
  <si>
    <t>phbv</t>
  </si>
  <si>
    <t>Pure PHBV</t>
  </si>
  <si>
    <t>PHBV/MAF (10%)</t>
  </si>
  <si>
    <t>PHBV/MAF (20%)</t>
  </si>
  <si>
    <t>PHBV/MAF (30%)</t>
  </si>
  <si>
    <t>PHBV/MAF (40%)</t>
  </si>
  <si>
    <t>PHBV/MAF (50%)</t>
  </si>
  <si>
    <t>P/08/H3</t>
  </si>
  <si>
    <t>p</t>
  </si>
  <si>
    <t>p/08</t>
  </si>
  <si>
    <t>P/08/mH3</t>
  </si>
  <si>
    <t>p/010.4/Mh3</t>
  </si>
  <si>
    <t>neat PHBV</t>
  </si>
  <si>
    <t>PHBV/flax</t>
  </si>
  <si>
    <t>PHBV/PBAT/flax</t>
  </si>
  <si>
    <t>PHBV/ENR/flax</t>
  </si>
  <si>
    <t>PHBV/TC</t>
  </si>
  <si>
    <t>PHBV/WF</t>
  </si>
  <si>
    <t>PHBV/ATBC</t>
  </si>
  <si>
    <t>PHBV/ATBC/L-CNC</t>
  </si>
  <si>
    <t>PHBV/ATBC/CaCO3</t>
  </si>
  <si>
    <t>50% starch±50% PHBV</t>
  </si>
  <si>
    <t>50% PEO-coated starch±50% PHBV</t>
  </si>
  <si>
    <t>30% starch±70% PHBV</t>
  </si>
  <si>
    <t>30% PEO-coated starch±70% PHBV</t>
  </si>
  <si>
    <t>Pure PHBV 11% mol HV, aerobic</t>
  </si>
  <si>
    <t>Pure PHBV 11% mol HV, anaerobic</t>
  </si>
  <si>
    <t>blend PHBV/starch (50:50 wt%), thickness 150 μm</t>
  </si>
  <si>
    <t>blend PHBV/starch (75:25 wt%), thickness 150 μm</t>
  </si>
  <si>
    <t>pure PHBV (19 %MOL HV), thickness 150 μm</t>
  </si>
  <si>
    <t>blend PHBV/starch (50:50 wt%), thickness 800 μm</t>
  </si>
  <si>
    <t>blend PHBV/starch (75:25 wt%), thickness 800 μm</t>
  </si>
  <si>
    <t>pure PHBV (19 %MOL HV), thickness 800 μm</t>
  </si>
  <si>
    <t>phbv sep straw/90:10</t>
  </si>
  <si>
    <t>phbv sep straw/80:20</t>
  </si>
  <si>
    <t>phbv sep straw/70:30</t>
  </si>
  <si>
    <t>PHBV-3C</t>
  </si>
  <si>
    <t>PHBV-10C</t>
  </si>
  <si>
    <t>PHBV-25</t>
  </si>
  <si>
    <t>PHBV-45</t>
  </si>
  <si>
    <t>PHBV_c</t>
  </si>
  <si>
    <t>PHBV_f</t>
  </si>
  <si>
    <t>PHBV_v</t>
  </si>
  <si>
    <t>PHBV-C</t>
  </si>
  <si>
    <t xml:space="preserve">Paper Title </t>
  </si>
  <si>
    <t>DOI</t>
  </si>
  <si>
    <t>Poly(3-Hydroxybutyrate-co-3-Hydroxyvalerate)/ Purified Cellulose Fiber Composites by Melt Blending: Characterization and Degradation in Composting Condition</t>
  </si>
  <si>
    <t>Instance</t>
  </si>
  <si>
    <t>Monomer_A</t>
  </si>
  <si>
    <t>Monomer_B</t>
  </si>
  <si>
    <t>Additive1_name</t>
  </si>
  <si>
    <t>Additive2_name</t>
  </si>
  <si>
    <t>Density</t>
  </si>
  <si>
    <t>Density_units</t>
  </si>
  <si>
    <t>Size_diameter</t>
  </si>
  <si>
    <t>Size_length</t>
  </si>
  <si>
    <t>Size_width</t>
  </si>
  <si>
    <t>Size_units</t>
  </si>
  <si>
    <t>No</t>
  </si>
  <si>
    <t>g/cm3</t>
  </si>
  <si>
    <t>mm</t>
  </si>
  <si>
    <t>Yes</t>
  </si>
  <si>
    <t>sheets</t>
  </si>
  <si>
    <t>Study_id</t>
  </si>
  <si>
    <t>TOCA %</t>
  </si>
  <si>
    <t>TNA %</t>
  </si>
  <si>
    <t>TDS %</t>
  </si>
  <si>
    <t>C/N</t>
  </si>
  <si>
    <t xml:space="preserve"> VS %</t>
  </si>
  <si>
    <t>compost</t>
  </si>
  <si>
    <t>aerobic</t>
  </si>
  <si>
    <t>celsius</t>
  </si>
  <si>
    <t>soil</t>
  </si>
  <si>
    <t>Size_thickness</t>
  </si>
  <si>
    <t>industrial compost</t>
  </si>
  <si>
    <t>Compost_pH</t>
  </si>
  <si>
    <t>Soil_pH</t>
  </si>
  <si>
    <t>μm</t>
  </si>
  <si>
    <r>
      <t>PHBV:</t>
    </r>
    <r>
      <rPr>
        <sz val="12"/>
        <color theme="1"/>
        <rFont val="Calibri"/>
        <family val="2"/>
        <charset val="161"/>
        <scheme val="minor"/>
      </rPr>
      <t> Neat poly(hydroxybutyrate-co-valerate)</t>
    </r>
  </si>
  <si>
    <r>
      <t>PHBV/flax:</t>
    </r>
    <r>
      <rPr>
        <sz val="12"/>
        <color theme="1"/>
        <rFont val="Calibri"/>
        <family val="2"/>
        <charset val="161"/>
        <scheme val="minor"/>
      </rPr>
      <t> Poly(hydroxybutyrate-co-valerate) composite with untreated flax fibers</t>
    </r>
  </si>
  <si>
    <r>
      <t>PHBV/flax/alginic acid:</t>
    </r>
    <r>
      <rPr>
        <sz val="12"/>
        <color theme="1"/>
        <rFont val="Calibri"/>
        <family val="2"/>
        <charset val="161"/>
        <scheme val="minor"/>
      </rPr>
      <t> Poly(hydroxybutyrate-co-valerate) composite with alginic acid treated flax fibers</t>
    </r>
  </si>
  <si>
    <t xml:space="preserve">  PLA: PolyLactic acid</t>
  </si>
  <si>
    <t>ABBREVIATIONS of different formulations</t>
  </si>
  <si>
    <t>PHB</t>
  </si>
  <si>
    <t>PHV</t>
  </si>
  <si>
    <t>Additive3_name</t>
  </si>
  <si>
    <t>p/010,4/Mh3</t>
  </si>
  <si>
    <t>bacteria and fungi</t>
  </si>
  <si>
    <t>PHBV-20Vish-E: VineShoots(ViSh)Fillers, 
exhausted(ViSh-E)</t>
  </si>
  <si>
    <t>PHBV-20Vish-V: VineShoots(ViSh)Fillers, virgin(ViSh-V)</t>
  </si>
  <si>
    <t>fungi</t>
  </si>
  <si>
    <t>PCA: PCA (composite without fibers), PHBV/CaCO3/ATBC</t>
  </si>
  <si>
    <t xml:space="preserve">CaCO3: Calcium Carbonate </t>
  </si>
  <si>
    <t>filaments/pellets</t>
  </si>
  <si>
    <t>Vish: Vine shoots: lignocellulosic agricultural residue</t>
  </si>
  <si>
    <t>marine</t>
  </si>
  <si>
    <t>PCA20: PHBV/CaCO3/ATBC/PO, 66.5/3.5/10/20</t>
  </si>
  <si>
    <t>PCA10: PHBV/CaCO3/ATBC/PO, 76/4/10/10</t>
  </si>
  <si>
    <t>PCA30: PHBV/CaCO3/ATBC/PO, 57/3/10/30</t>
  </si>
  <si>
    <t xml:space="preserve">12 °C </t>
  </si>
  <si>
    <t xml:space="preserve">27 °C </t>
  </si>
  <si>
    <t>8 - 8,2</t>
  </si>
  <si>
    <t>changes in the weight</t>
  </si>
  <si>
    <t>20°C to 25°C</t>
  </si>
  <si>
    <t>8°C to 15°C</t>
  </si>
  <si>
    <t>66.5/3.5/10/20</t>
  </si>
  <si>
    <t>85.5/4.5/10</t>
  </si>
  <si>
    <t>PCA20: PHBV/CaCO3/ATBC/PO</t>
  </si>
  <si>
    <t>PCA: PHBV/CaCO3/ATBC</t>
  </si>
  <si>
    <r>
      <t xml:space="preserve">The PHAs degraders were identified from genus </t>
    </r>
    <r>
      <rPr>
        <i/>
        <sz val="11"/>
        <color theme="1"/>
        <rFont val="Calibri"/>
        <family val="2"/>
        <charset val="161"/>
        <scheme val="minor"/>
      </rPr>
      <t>Cupriavidus, Acidovorax, Variovora, Streptomyces and Ideonella and two starch degraders were identified from genus Moraxella and Alcaligenes</t>
    </r>
  </si>
  <si>
    <t>weight loss and physical changes in soil and lake environments</t>
  </si>
  <si>
    <t>PHBV/SOIL</t>
  </si>
  <si>
    <t>PHBV/LAKE</t>
  </si>
  <si>
    <t>STARCH</t>
  </si>
  <si>
    <t>CELLULOSE</t>
  </si>
  <si>
    <t>ALGINATE</t>
  </si>
  <si>
    <t>circular blend films</t>
  </si>
  <si>
    <t>cm</t>
  </si>
  <si>
    <r>
      <rPr>
        <sz val="11.5"/>
        <rFont val="Times New Roman"/>
        <family val="1"/>
        <charset val="161"/>
      </rPr>
      <t>0±0</t>
    </r>
  </si>
  <si>
    <t>0±0</t>
  </si>
  <si>
    <t>0+0</t>
  </si>
  <si>
    <t>0 + 0</t>
  </si>
  <si>
    <t>2,0±0,7</t>
  </si>
  <si>
    <t>2,7 + 0,4</t>
  </si>
  <si>
    <t>3,0±0,5</t>
  </si>
  <si>
    <t>4,7±0,8</t>
  </si>
  <si>
    <t>3,0 + 0,5</t>
  </si>
  <si>
    <t>4,6 + 0,4</t>
  </si>
  <si>
    <t>7,0 + 0,4</t>
  </si>
  <si>
    <t>11,0 + 1,2</t>
  </si>
  <si>
    <t>15,0± 1,7</t>
  </si>
  <si>
    <t>28,0±2,0</t>
  </si>
  <si>
    <t>33,0±2,1</t>
  </si>
  <si>
    <t>0,7±0,5</t>
  </si>
  <si>
    <t>2,0±1,2</t>
  </si>
  <si>
    <t>6,0±0,4</t>
  </si>
  <si>
    <t>11,0±1,7</t>
  </si>
  <si>
    <t>7,0±1,2</t>
  </si>
  <si>
    <t>16,0±2,0</t>
  </si>
  <si>
    <t>21,0±2,4</t>
  </si>
  <si>
    <t>1,0±0</t>
  </si>
  <si>
    <t>1,5±0</t>
  </si>
  <si>
    <t>1,4+0,4</t>
  </si>
  <si>
    <t>3,9±0,4</t>
  </si>
  <si>
    <t>2,0±0,5</t>
  </si>
  <si>
    <t>9,0±0,4</t>
  </si>
  <si>
    <t>3,5+0,8</t>
  </si>
  <si>
    <t>1,0±0,2</t>
  </si>
  <si>
    <t>14,0±0,8</t>
  </si>
  <si>
    <t>5,0±0,3</t>
  </si>
  <si>
    <t>1,3±0</t>
  </si>
  <si>
    <t>17,0±0,5</t>
  </si>
  <si>
    <t>6,0±1,0</t>
  </si>
  <si>
    <t>1,7±0,3</t>
  </si>
  <si>
    <t>19,0±2,0</t>
  </si>
  <si>
    <t>0 ± 0</t>
  </si>
  <si>
    <t>Woodflour: WF</t>
  </si>
  <si>
    <t>Wood floor (WF)</t>
  </si>
  <si>
    <t xml:space="preserve">PDI </t>
  </si>
  <si>
    <t>Mn (kDa)</t>
  </si>
  <si>
    <t>Mw (kDa)</t>
  </si>
  <si>
    <t>weight loss</t>
  </si>
  <si>
    <t>fungal hyphae and spores </t>
  </si>
  <si>
    <t>anaerobic</t>
  </si>
  <si>
    <t>PHBV-Q: Quercetin (POLYPHENOLS)</t>
  </si>
  <si>
    <t xml:space="preserve"> PHBV-GA: Garlic acid (POLYPHENOLS)</t>
  </si>
  <si>
    <t>films</t>
  </si>
  <si>
    <t>Boron Nitride : BN</t>
  </si>
  <si>
    <t xml:space="preserve">Cornstarch </t>
  </si>
  <si>
    <t>ribbons</t>
  </si>
  <si>
    <t>10 to 12</t>
  </si>
  <si>
    <t>7,8–8,2 </t>
  </si>
  <si>
    <t>marine bacteria</t>
  </si>
  <si>
    <t>PHBV (neat)</t>
  </si>
  <si>
    <t>PHBV/SO 95/5</t>
  </si>
  <si>
    <t>PHBV/SO 90/10</t>
  </si>
  <si>
    <t>PHBV/SO 80/20</t>
  </si>
  <si>
    <t>PHBV/SO 70/30</t>
  </si>
  <si>
    <t>PHBV/ESO 95/5</t>
  </si>
  <si>
    <t>PHBV/ESO 90/10</t>
  </si>
  <si>
    <t>PHBV/ESO 80/20</t>
  </si>
  <si>
    <t>PHBV/ESO 70/30</t>
  </si>
  <si>
    <t>95/5</t>
  </si>
  <si>
    <t xml:space="preserve">Soybean oil (SO) </t>
  </si>
  <si>
    <t xml:space="preserve">epoxidized soybean oil (ESO) </t>
  </si>
  <si>
    <t>thin films</t>
  </si>
  <si>
    <t>Soybean oil (SO)</t>
  </si>
  <si>
    <t>Poly(e-caprolactone): (PCL)</t>
  </si>
  <si>
    <t xml:space="preserve">TEC: triethyl citrate </t>
  </si>
  <si>
    <t xml:space="preserve">DCP: dicumyl  peroxide </t>
  </si>
  <si>
    <t>20/80</t>
  </si>
  <si>
    <t>P. mendocina DS04-T</t>
  </si>
  <si>
    <t>phbv/pcl + TEC+DPC</t>
  </si>
  <si>
    <t>phbv/pcl (without agents)</t>
  </si>
  <si>
    <t>phbv/pcl (neat phbv without agents)</t>
  </si>
  <si>
    <t>films/Spherulite morphologies</t>
  </si>
  <si>
    <t>phbv/pcl (neat phbv with agents)</t>
  </si>
  <si>
    <t>liquid mineral medium</t>
  </si>
  <si>
    <t>5P01N</t>
  </si>
  <si>
    <t>5P03N</t>
  </si>
  <si>
    <t>5P05N</t>
  </si>
  <si>
    <t>7P01N</t>
  </si>
  <si>
    <t>7P03N</t>
  </si>
  <si>
    <t>7P05N</t>
  </si>
  <si>
    <t>10P01N</t>
  </si>
  <si>
    <t>10P03N</t>
  </si>
  <si>
    <t>10P05N</t>
  </si>
  <si>
    <t>Spherulites</t>
  </si>
  <si>
    <t>ASTM D6003 and ASTM G160 </t>
  </si>
  <si>
    <t>epoxidized cottonseed oil: plasticizing agent (P)</t>
  </si>
  <si>
    <t xml:space="preserve"> Licowax: nucleating agent (N) </t>
  </si>
  <si>
    <t>0/100</t>
  </si>
  <si>
    <t>5/0.1/94.9</t>
  </si>
  <si>
    <t>5/0.3/94.7</t>
  </si>
  <si>
    <t>5/0.5/94.5</t>
  </si>
  <si>
    <t>7/0.1/92.9</t>
  </si>
  <si>
    <t>7/0.3/92.7</t>
  </si>
  <si>
    <t>7/0.5/92.5</t>
  </si>
  <si>
    <t>10/0.1/89.9</t>
  </si>
  <si>
    <t>10/0.3/89.7</t>
  </si>
  <si>
    <t>10/0.5/89.5</t>
  </si>
  <si>
    <t>biocomposite sheets</t>
  </si>
  <si>
    <t xml:space="preserve"> an epoxidized cottonseed oil (P902):a plasticizing agent (P), and the nucleating agent (N) was the fatty acid based compound Licowax (Clariant)</t>
  </si>
  <si>
    <t>propionylated cellulosic abaca fiber,  Modified abaca fiber (MAF)</t>
  </si>
  <si>
    <t>92/8</t>
  </si>
  <si>
    <t>89/8/3</t>
  </si>
  <si>
    <t>86.6/10.4/3</t>
  </si>
  <si>
    <t xml:space="preserve"> films</t>
  </si>
  <si>
    <t>mass loss</t>
  </si>
  <si>
    <t>halloysite clay mineral (Hal) and oregano essential oil (OEO)</t>
  </si>
  <si>
    <t>acetyl-tri-n-butyl citrate: (ATBC)</t>
  </si>
  <si>
    <t>polybutylene-adipate-co-terephthalate (PBAT) and epoxidized natural rubber (ENR)</t>
  </si>
  <si>
    <t>Additive1_percentage (wt%)</t>
  </si>
  <si>
    <t>Additive2_percentage (wt%)</t>
  </si>
  <si>
    <t>Additive3_percentage (wt%)</t>
  </si>
  <si>
    <t>no</t>
  </si>
  <si>
    <t>Flax Fibers</t>
  </si>
  <si>
    <t>40/30/30</t>
  </si>
  <si>
    <t>laminates</t>
  </si>
  <si>
    <t> Rectangular plates</t>
  </si>
  <si>
    <t>1,5–2</t>
  </si>
  <si>
    <t>1,5–4</t>
  </si>
  <si>
    <t>fungal mycelium</t>
  </si>
  <si>
    <r>
      <t xml:space="preserve">Bacteria Actinomycetes ( </t>
    </r>
    <r>
      <rPr>
        <i/>
        <sz val="11"/>
        <color theme="1"/>
        <rFont val="Calibri"/>
        <family val="2"/>
        <charset val="161"/>
        <scheme val="minor"/>
      </rPr>
      <t>Streptomyces</t>
    </r>
    <r>
      <rPr>
        <sz val="11"/>
        <color theme="1"/>
        <rFont val="Calibri"/>
        <family val="2"/>
        <charset val="161"/>
        <scheme val="minor"/>
      </rPr>
      <t xml:space="preserve">) </t>
    </r>
    <r>
      <rPr>
        <b/>
        <sz val="11"/>
        <color theme="1"/>
        <rFont val="Calibri"/>
        <family val="2"/>
        <charset val="161"/>
        <scheme val="minor"/>
      </rPr>
      <t>and</t>
    </r>
    <r>
      <rPr>
        <sz val="11"/>
        <color theme="1"/>
        <rFont val="Calibri"/>
        <family val="2"/>
        <charset val="161"/>
        <scheme val="minor"/>
      </rPr>
      <t xml:space="preserve"> fungal mycelium</t>
    </r>
  </si>
  <si>
    <t>pure cellulose (TC),  TC90 (cellulose &gt; 99%), TC40 (cellulose &gt; 99.6%), and pine woodflour (WF)</t>
  </si>
  <si>
    <t>85/15</t>
  </si>
  <si>
    <t xml:space="preserve">   μm</t>
  </si>
  <si>
    <t>ISO 20200</t>
  </si>
  <si>
    <t>0,53 (g C / g sample)</t>
  </si>
  <si>
    <t>fungi, yeasts, and bacteria</t>
  </si>
  <si>
    <t>thermophilic compost</t>
  </si>
  <si>
    <t>spray-dried lignin-coated cellulose nanocrystals (L-CNC)</t>
  </si>
  <si>
    <t xml:space="preserve">CaCO3 </t>
  </si>
  <si>
    <t>89/10/1</t>
  </si>
  <si>
    <t>80/10/10</t>
  </si>
  <si>
    <t>{Sample ratio wt/wt%}</t>
  </si>
  <si>
    <t xml:space="preserve">ISO 14855-1 </t>
  </si>
  <si>
    <t>Thermophilic bacteria &amp; fungi</t>
  </si>
  <si>
    <t>Aquatic microbes (bacteria, algae, etc.)</t>
  </si>
  <si>
    <r>
      <t xml:space="preserve">Mesophilic microbes + </t>
    </r>
    <r>
      <rPr>
        <i/>
        <sz val="11"/>
        <color theme="1"/>
        <rFont val="Calibri"/>
        <family val="2"/>
        <charset val="161"/>
        <scheme val="minor"/>
      </rPr>
      <t>Eisenia foetida</t>
    </r>
  </si>
  <si>
    <t xml:space="preserve"> weight loss</t>
  </si>
  <si>
    <t>polyethylene oxide (PEO)</t>
  </si>
  <si>
    <t>Triacetin</t>
  </si>
  <si>
    <t>Starch</t>
  </si>
  <si>
    <t>flat ribbons</t>
  </si>
  <si>
    <t>7,5 - 8,1</t>
  </si>
  <si>
    <t>7,8 - 8,0</t>
  </si>
  <si>
    <t>8,1-8,3</t>
  </si>
  <si>
    <t>8,0-8,2</t>
  </si>
  <si>
    <t>unspecified marine bacteria</t>
  </si>
  <si>
    <t>75/25</t>
  </si>
  <si>
    <t>Wheat Starch</t>
  </si>
  <si>
    <t>90/10/0</t>
  </si>
  <si>
    <t>diverse microbial community</t>
  </si>
  <si>
    <t>Wheat Straw Fibre</t>
  </si>
  <si>
    <t xml:space="preserve">ASTM D5338 </t>
  </si>
  <si>
    <t>Mixed (mostly bacteria)</t>
  </si>
  <si>
    <t>Mixed (bacteria + fungi)</t>
  </si>
  <si>
    <t>97/3</t>
  </si>
  <si>
    <t>55/45</t>
  </si>
  <si>
    <t>ISO 20200 composting conditions at 58 °C, 55% moisture</t>
  </si>
  <si>
    <t>Cellulose Fibers</t>
  </si>
  <si>
    <t> flat plates and thin films</t>
  </si>
  <si>
    <t>0,8 (plates) and 0,2 (films) </t>
  </si>
  <si>
    <t>bacteria, fungi, actinomycetes</t>
  </si>
  <si>
    <t xml:space="preserve"> DDGS: Distillers’ dried grains with solubles, Misc: Miscanthus</t>
  </si>
  <si>
    <t>Olive Pomace (OP): Agro-industrial waste, fractionated into:</t>
  </si>
  <si>
    <t>F0: Crude pomace</t>
  </si>
  <si>
    <t>SF: Stone-rich fraction</t>
  </si>
  <si>
    <t>PF: Pulp-rich fraction</t>
  </si>
  <si>
    <t>Catechin</t>
  </si>
  <si>
    <t>Ferulic Acid</t>
  </si>
  <si>
    <t>Vanillin</t>
  </si>
  <si>
    <t>UNE-ISO 23977-1</t>
  </si>
  <si>
    <t>0,130 ± 0,013</t>
  </si>
  <si>
    <t>0,129 ± 0,011</t>
  </si>
  <si>
    <t>0,124 ± 0,010</t>
  </si>
  <si>
    <t>0,124 ± 0,013</t>
  </si>
  <si>
    <t> bacteria and possibly fungi or algae</t>
  </si>
  <si>
    <t>5a</t>
  </si>
  <si>
    <t>5b</t>
  </si>
  <si>
    <t>5c</t>
  </si>
  <si>
    <t>6a</t>
  </si>
  <si>
    <t>6b</t>
  </si>
  <si>
    <t>6c</t>
  </si>
  <si>
    <t>7a</t>
  </si>
  <si>
    <t>7b</t>
  </si>
  <si>
    <t>7c</t>
  </si>
  <si>
    <t>8a</t>
  </si>
  <si>
    <t>8b</t>
  </si>
  <si>
    <t>8c</t>
  </si>
  <si>
    <t>1a</t>
  </si>
  <si>
    <t>2a</t>
  </si>
  <si>
    <t>3a</t>
  </si>
  <si>
    <t>4a</t>
  </si>
  <si>
    <t>1b</t>
  </si>
  <si>
    <t>2b</t>
  </si>
  <si>
    <t>3b</t>
  </si>
  <si>
    <t>4b</t>
  </si>
  <si>
    <t>1c</t>
  </si>
  <si>
    <t>2c</t>
  </si>
  <si>
    <t>3c</t>
  </si>
  <si>
    <t>4c</t>
  </si>
  <si>
    <t>1d</t>
  </si>
  <si>
    <t>2d</t>
  </si>
  <si>
    <t>3d</t>
  </si>
  <si>
    <t>4d</t>
  </si>
  <si>
    <t>5d</t>
  </si>
  <si>
    <t>plasticizer</t>
  </si>
  <si>
    <t>filler</t>
  </si>
  <si>
    <t>ATBC: acetyl tributyl citrate</t>
  </si>
  <si>
    <t xml:space="preserve"> oregano essential oil (OEO)</t>
  </si>
  <si>
    <t>epoxidized natural rubber (ENR)</t>
  </si>
  <si>
    <t xml:space="preserve">polybutylene-adipate-co-terephthalate (PBAT) </t>
  </si>
  <si>
    <t>pure cellulose (TC)</t>
  </si>
  <si>
    <t>Propionylated abaca fiber maf</t>
  </si>
  <si>
    <t>Additive_type_1</t>
  </si>
  <si>
    <t>Additive_type_2</t>
  </si>
  <si>
    <t>Additive_type_3</t>
  </si>
  <si>
    <t>triethyl citrate (TEC)</t>
  </si>
  <si>
    <t>dicumyl peroxide (DCP)</t>
  </si>
  <si>
    <t xml:space="preserve">unmodified halloysite clay mineral (Hal) </t>
  </si>
  <si>
    <t xml:space="preserve">modified halloysite clay mineral (Hal): mHal </t>
  </si>
  <si>
    <t>woodflour (WF)</t>
  </si>
  <si>
    <t>Posidonia oceanica (PO)</t>
  </si>
  <si>
    <t xml:space="preserve"> lignin-coated cellulose nanocrystals (L-CNC)</t>
  </si>
  <si>
    <t>compatibilizer</t>
  </si>
  <si>
    <t>Sample_name</t>
  </si>
  <si>
    <t xml:space="preserve"> Sample_name</t>
  </si>
  <si>
    <t>PHBV_weight_percentage_final_formulation (wt%)</t>
  </si>
  <si>
    <r>
      <t xml:space="preserve">Viscocimetric_molar_mass, </t>
    </r>
    <r>
      <rPr>
        <b/>
        <i/>
        <sz val="11"/>
        <color theme="1"/>
        <rFont val="Calibri"/>
        <family val="2"/>
        <charset val="161"/>
        <scheme val="minor"/>
      </rPr>
      <t>Mv (g/mol)</t>
    </r>
  </si>
  <si>
    <t>Soil_burial_time_for_Mv (months)</t>
  </si>
  <si>
    <t>Soil_burial_time_for_Mw (months)</t>
  </si>
  <si>
    <t>Relative_Mw (%)</t>
  </si>
  <si>
    <t>Incubation_time_for_relative_Mw (days)</t>
  </si>
  <si>
    <t>Soil_burial_time_for_Mn (months)</t>
  </si>
  <si>
    <t>Soil_burial_time_for_PDI (months)</t>
  </si>
  <si>
    <t>Moisture_content_formulations (%)</t>
  </si>
  <si>
    <t>Soil_burial_time _for_moisture_content (months)</t>
  </si>
  <si>
    <t>Void_content (%)</t>
  </si>
  <si>
    <t>Sample_shape/Morphology</t>
  </si>
  <si>
    <t>*Water_absorption_capacity %</t>
  </si>
  <si>
    <t>**Thickness_swelling (%)</t>
  </si>
  <si>
    <t>**Immersion_days</t>
  </si>
  <si>
    <t>Film_solubility %</t>
  </si>
  <si>
    <r>
      <t>Static_water_contact _angle, (</t>
    </r>
    <r>
      <rPr>
        <b/>
        <sz val="12"/>
        <color theme="1"/>
        <rFont val="Calibri"/>
        <family val="2"/>
        <charset val="161"/>
        <scheme val="minor"/>
      </rPr>
      <t>WCA</t>
    </r>
    <r>
      <rPr>
        <b/>
        <sz val="11"/>
        <color theme="1"/>
        <rFont val="Calibri"/>
        <family val="2"/>
        <charset val="161"/>
        <scheme val="minor"/>
      </rPr>
      <t xml:space="preserve">) for hydrophilicity (deg) </t>
    </r>
  </si>
  <si>
    <t>Parameter_evaluated</t>
  </si>
  <si>
    <t>Water_pH_marine</t>
  </si>
  <si>
    <t>Salinity_marine (ppt)</t>
  </si>
  <si>
    <t>Soil_moisture (%)</t>
  </si>
  <si>
    <t>Compost_moisture (%)</t>
  </si>
  <si>
    <t>ASTM/ISO</t>
  </si>
  <si>
    <t xml:space="preserve"> filler</t>
  </si>
  <si>
    <t>nucleating_agent</t>
  </si>
  <si>
    <t>toughening_agent</t>
  </si>
  <si>
    <t xml:space="preserve"> blend_polymer</t>
  </si>
  <si>
    <t xml:space="preserve">plasticizer </t>
  </si>
  <si>
    <t>crosslinker</t>
  </si>
  <si>
    <t>Enzyme-mediated microbial biodegradation</t>
  </si>
  <si>
    <t>Surface erosion–driven biodegradation</t>
  </si>
  <si>
    <t>Microbial biodegradation</t>
  </si>
  <si>
    <t>Environmentally modified microbial degradation</t>
  </si>
  <si>
    <t>Stabilization or degradation inhibition due to crosslinking</t>
  </si>
  <si>
    <t>Hydrolysis-assisted microbial assimilation</t>
  </si>
  <si>
    <t xml:space="preserve">Hydrolytic degradation </t>
  </si>
  <si>
    <t>organic fertilizer</t>
  </si>
  <si>
    <t xml:space="preserve"> organic fertilizer</t>
  </si>
  <si>
    <t>vermicompost</t>
  </si>
  <si>
    <t>field soil</t>
  </si>
  <si>
    <t>freshwater</t>
  </si>
  <si>
    <t xml:space="preserve">freshwater </t>
  </si>
  <si>
    <t>Degradation_Environment</t>
  </si>
  <si>
    <t>Additives</t>
  </si>
  <si>
    <t>10.1128/AEM.65.2.431-437.1999</t>
  </si>
  <si>
    <t>10.1128/aem.59.4.1242-1246.1993</t>
  </si>
  <si>
    <t>Poly(3-hydroxybutyrate-co-3-hydroxyvalerate) and wheat straw fibre composites: thermal, mechanical properties and biodegradation behaviour</t>
  </si>
  <si>
    <t>10.1023/A:1004773603516</t>
  </si>
  <si>
    <t>10.1002/(SICI)1097-4628(20000620)76:123.0.CO;2-D</t>
  </si>
  <si>
    <t xml:space="preserve">TH20_winter_marine </t>
  </si>
  <si>
    <t>TH20_summer_marine</t>
  </si>
  <si>
    <t>*immersion_days</t>
  </si>
  <si>
    <t xml:space="preserve">Soil_T </t>
  </si>
  <si>
    <t>Compost_T</t>
  </si>
  <si>
    <t>ASTMG160_03</t>
  </si>
  <si>
    <t>rectangular_strips/flat sheets</t>
  </si>
  <si>
    <t>ASTM D5988_12</t>
  </si>
  <si>
    <t>Experimental_Scale</t>
  </si>
  <si>
    <t>Lab</t>
  </si>
  <si>
    <t>N/A</t>
  </si>
  <si>
    <t>Large</t>
  </si>
  <si>
    <t>lab</t>
  </si>
  <si>
    <t>Degradation_mechanism</t>
  </si>
  <si>
    <t>Degradation_condition</t>
  </si>
  <si>
    <t>T_deg</t>
  </si>
  <si>
    <t>T_deg_units</t>
  </si>
  <si>
    <t>T_deg_winter_marine</t>
  </si>
  <si>
    <t>T_deg_summer_marine</t>
  </si>
  <si>
    <t>PHA_degrading_microbes</t>
  </si>
  <si>
    <t>weight_loss_%</t>
  </si>
  <si>
    <t>degradation_time_(days)</t>
  </si>
  <si>
    <t>m</t>
  </si>
  <si>
    <t>PHB_initial (%mol)</t>
  </si>
  <si>
    <t>Final_formulation_weigth(wt%)</t>
  </si>
  <si>
    <t>PHV_initial (%mol)</t>
  </si>
  <si>
    <t>96.5</t>
  </si>
  <si>
    <t>3.5</t>
  </si>
  <si>
    <t>96.6</t>
  </si>
  <si>
    <t>all mechanisms</t>
  </si>
  <si>
    <t>3.4</t>
  </si>
  <si>
    <t>81.9</t>
  </si>
  <si>
    <t>19.1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</si>
</sst>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5" formatCode="d\.m"/>
    <numFmt numFmtId="166" formatCode="0.000"/>
    <numFmt numFmtId="167" formatCode="#,##0.0"/>
    <numFmt numFmtId="168" formatCode="#,##0.000"/>
    <numFmt numFmtId="169" formatCode="#,##0.0000"/>
  </numFmts>
  <fonts count="64" x14ac:knownFonts="1">
    <font>
      <sz val="11"/>
      <color theme="1"/>
      <name val="Calibri"/>
      <family val="2"/>
      <scheme val="minor"/>
    </font>
    <font>
      <sz val="12"/>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sz val="11"/>
      <color theme="1"/>
      <name val="Calibri"/>
      <family val="2"/>
      <charset val="161"/>
      <scheme val="minor"/>
    </font>
    <font>
      <u/>
      <sz val="11"/>
      <color theme="10"/>
      <name val="Calibri"/>
      <family val="2"/>
      <scheme val="minor"/>
    </font>
    <font>
      <b/>
      <sz val="11"/>
      <color theme="1"/>
      <name val="Calibri"/>
      <family val="2"/>
      <charset val="161"/>
      <scheme val="minor"/>
    </font>
    <font>
      <sz val="11"/>
      <color rgb="FF282828"/>
      <name val="Calibri"/>
      <family val="2"/>
      <charset val="161"/>
      <scheme val="minor"/>
    </font>
    <font>
      <sz val="8"/>
      <name val="Calibri"/>
      <family val="2"/>
      <scheme val="minor"/>
    </font>
    <font>
      <b/>
      <i/>
      <sz val="11"/>
      <color theme="1"/>
      <name val="Calibri"/>
      <family val="2"/>
      <charset val="161"/>
      <scheme val="minor"/>
    </font>
    <font>
      <sz val="11"/>
      <color rgb="FF000000"/>
      <name val="Calibri"/>
      <family val="2"/>
      <charset val="161"/>
      <scheme val="minor"/>
    </font>
    <font>
      <u/>
      <sz val="11"/>
      <color theme="1"/>
      <name val="Calibri"/>
      <family val="2"/>
      <scheme val="minor"/>
    </font>
    <font>
      <sz val="12"/>
      <color theme="1"/>
      <name val="Calibri"/>
      <family val="2"/>
      <charset val="161"/>
      <scheme val="minor"/>
    </font>
    <font>
      <sz val="12"/>
      <color theme="1"/>
      <name val="Calibri"/>
      <family val="2"/>
      <scheme val="minor"/>
    </font>
    <font>
      <i/>
      <sz val="11"/>
      <color theme="1"/>
      <name val="Calibri"/>
      <family val="2"/>
      <charset val="161"/>
      <scheme val="minor"/>
    </font>
    <font>
      <b/>
      <u/>
      <sz val="11"/>
      <color theme="1"/>
      <name val="Calibri"/>
      <family val="2"/>
      <charset val="161"/>
      <scheme val="minor"/>
    </font>
    <font>
      <u/>
      <sz val="11"/>
      <color theme="1"/>
      <name val="Calibri"/>
      <family val="2"/>
      <charset val="161"/>
      <scheme val="minor"/>
    </font>
    <font>
      <u/>
      <sz val="11"/>
      <color rgb="FF000000"/>
      <name val="Calibri"/>
      <family val="2"/>
      <charset val="161"/>
      <scheme val="minor"/>
    </font>
    <font>
      <sz val="11"/>
      <color rgb="FF242424"/>
      <name val="Calibri"/>
      <family val="2"/>
      <charset val="161"/>
      <scheme val="minor"/>
    </font>
    <font>
      <sz val="9.6"/>
      <color theme="1"/>
      <name val="Calibri"/>
      <family val="2"/>
      <charset val="161"/>
      <scheme val="minor"/>
    </font>
    <font>
      <b/>
      <sz val="11"/>
      <color theme="1"/>
      <name val="Calibri"/>
      <family val="2"/>
      <scheme val="minor"/>
    </font>
    <font>
      <sz val="11.5"/>
      <name val="Times New Roman"/>
      <family val="1"/>
      <charset val="161"/>
    </font>
    <font>
      <sz val="11"/>
      <name val="Calibri"/>
      <family val="2"/>
      <charset val="161"/>
      <scheme val="minor"/>
    </font>
    <font>
      <sz val="11"/>
      <color rgb="FF424242"/>
      <name val="Calibri"/>
      <family val="2"/>
      <charset val="161"/>
      <scheme val="minor"/>
    </font>
    <font>
      <sz val="9.6"/>
      <color theme="1"/>
      <name val="Segoe UI"/>
      <family val="2"/>
      <charset val="161"/>
    </font>
    <font>
      <sz val="9.6"/>
      <color theme="1"/>
      <name val="Segoe UI"/>
      <family val="2"/>
      <charset val="161"/>
    </font>
    <font>
      <sz val="11"/>
      <color theme="1"/>
      <name val="Calibri"/>
      <family val="2"/>
      <charset val="161"/>
      <scheme val="minor"/>
    </font>
    <font>
      <sz val="11"/>
      <color theme="1"/>
      <name val="Segoe UI"/>
      <family val="2"/>
      <charset val="161"/>
    </font>
    <font>
      <sz val="11"/>
      <color rgb="FF000000"/>
      <name val="Calibri"/>
      <family val="2"/>
    </font>
    <font>
      <b/>
      <sz val="12"/>
      <color theme="1"/>
      <name val="Calibri"/>
      <family val="2"/>
      <charset val="161"/>
      <scheme val="minor"/>
    </font>
    <font>
      <sz val="9"/>
      <color indexed="81"/>
      <name val="Tahoma"/>
      <family val="2"/>
    </font>
    <font>
      <b/>
      <sz val="9"/>
      <color indexed="81"/>
      <name val="Tahoma"/>
      <family val="2"/>
    </font>
    <font>
      <sz val="11"/>
      <color rgb="FF000000"/>
      <name val="Calibri"/>
      <family val="2"/>
      <scheme val="minor"/>
    </font>
    <font>
      <sz val="16"/>
      <color theme="1"/>
      <name val="Calibri"/>
      <family val="2"/>
      <scheme val="minor"/>
    </font>
    <font>
      <sz val="11"/>
      <color rgb="FF000000"/>
      <name val="Calibri"/>
      <family val="2"/>
      <charset val="161"/>
    </font>
    <font>
      <b/>
      <sz val="9"/>
      <color rgb="FF000000"/>
      <name val="Tahoma"/>
      <family val="2"/>
      <charset val="161"/>
    </font>
    <font>
      <sz val="9"/>
      <color rgb="FF000000"/>
      <name val="Tahoma"/>
      <family val="2"/>
      <charset val="161"/>
    </font>
    <font>
      <b/>
      <sz val="11"/>
      <color rgb="FF00206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rgb="FFFAFAFA"/>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rgb="FFE18BED"/>
        <bgColor indexed="64"/>
      </patternFill>
    </fill>
    <fill>
      <patternFill patternType="solid">
        <fgColor theme="0"/>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bottom style="medium">
        <color rgb="FFE6E6E6"/>
      </bottom>
      <diagonal/>
    </border>
    <border>
      <left/>
      <right style="thin">
        <color indexed="64"/>
      </right>
      <top/>
      <bottom style="medium">
        <color rgb="FFE6E6E6"/>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s>
  <cellStyleXfs count="3">
    <xf numFmtId="0" fontId="0" fillId="0" borderId="0"/>
    <xf numFmtId="0" fontId="31" fillId="0" borderId="0" applyNumberFormat="0" applyFill="0" applyBorder="0" applyAlignment="0" applyProtection="0"/>
    <xf numFmtId="0" fontId="54" fillId="0" borderId="0"/>
  </cellStyleXfs>
  <cellXfs count="377">
    <xf numFmtId="0" fontId="0" fillId="0" borderId="0" xfId="0"/>
    <xf numFmtId="0" fontId="31" fillId="0" borderId="0" xfId="1"/>
    <xf numFmtId="0" fontId="32" fillId="2" borderId="0" xfId="0" applyFont="1" applyFill="1"/>
    <xf numFmtId="0" fontId="32" fillId="0" borderId="0" xfId="0" applyFont="1"/>
    <xf numFmtId="0" fontId="0" fillId="0" borderId="0" xfId="0" applyAlignment="1">
      <alignment wrapText="1"/>
    </xf>
    <xf numFmtId="0" fontId="0" fillId="0" borderId="0" xfId="0" applyAlignment="1">
      <alignment horizontal="center"/>
    </xf>
    <xf numFmtId="0" fontId="32" fillId="2" borderId="0" xfId="0" applyFont="1" applyFill="1" applyAlignment="1">
      <alignment horizontal="center"/>
    </xf>
    <xf numFmtId="0" fontId="0" fillId="2" borderId="0" xfId="0" applyFill="1" applyAlignment="1">
      <alignment horizontal="center"/>
    </xf>
    <xf numFmtId="0" fontId="32" fillId="0" borderId="0" xfId="0" applyFont="1" applyAlignment="1">
      <alignment horizontal="center"/>
    </xf>
    <xf numFmtId="0" fontId="0" fillId="0" borderId="0" xfId="0" applyAlignment="1">
      <alignment horizontal="center" wrapText="1"/>
    </xf>
    <xf numFmtId="0" fontId="31" fillId="0" borderId="0" xfId="1" applyAlignment="1">
      <alignment horizontal="center"/>
    </xf>
    <xf numFmtId="0" fontId="33" fillId="0" borderId="0" xfId="0" applyFont="1" applyAlignment="1">
      <alignment horizontal="center" wrapText="1"/>
    </xf>
    <xf numFmtId="0" fontId="32" fillId="0" borderId="0" xfId="0" applyFont="1" applyAlignment="1">
      <alignment horizontal="center" wrapText="1"/>
    </xf>
    <xf numFmtId="0" fontId="30" fillId="0" borderId="0" xfId="0" applyFont="1" applyAlignment="1">
      <alignment horizontal="center" wrapText="1"/>
    </xf>
    <xf numFmtId="0" fontId="30" fillId="0" borderId="0" xfId="0" applyFont="1" applyAlignment="1">
      <alignment horizontal="center" vertical="center"/>
    </xf>
    <xf numFmtId="0" fontId="32" fillId="0" borderId="1" xfId="0" applyFont="1" applyBorder="1" applyAlignment="1">
      <alignment horizontal="center"/>
    </xf>
    <xf numFmtId="0" fontId="29" fillId="0" borderId="0" xfId="0" applyFont="1" applyAlignment="1">
      <alignment horizontal="center"/>
    </xf>
    <xf numFmtId="0" fontId="29" fillId="0" borderId="2" xfId="0" applyFont="1" applyBorder="1" applyAlignment="1">
      <alignment horizontal="center"/>
    </xf>
    <xf numFmtId="0" fontId="0" fillId="0" borderId="2" xfId="0" applyBorder="1"/>
    <xf numFmtId="0" fontId="0" fillId="0" borderId="2" xfId="0" applyBorder="1" applyAlignment="1">
      <alignment horizontal="center"/>
    </xf>
    <xf numFmtId="0" fontId="0" fillId="0" borderId="3" xfId="0" applyBorder="1"/>
    <xf numFmtId="0" fontId="32" fillId="0" borderId="4" xfId="0" applyFont="1" applyBorder="1" applyAlignment="1">
      <alignment horizontal="center"/>
    </xf>
    <xf numFmtId="0" fontId="32" fillId="0" borderId="5" xfId="0" applyFont="1" applyBorder="1" applyAlignment="1">
      <alignment horizontal="center" vertical="center"/>
    </xf>
    <xf numFmtId="0" fontId="32" fillId="0" borderId="5" xfId="0" applyFont="1" applyBorder="1" applyAlignment="1">
      <alignment horizontal="center"/>
    </xf>
    <xf numFmtId="0" fontId="32" fillId="0" borderId="6" xfId="0" applyFont="1" applyBorder="1" applyAlignment="1">
      <alignment horizontal="center"/>
    </xf>
    <xf numFmtId="0" fontId="32" fillId="0" borderId="4" xfId="0" applyFont="1" applyBorder="1" applyAlignment="1">
      <alignment horizontal="center" wrapText="1"/>
    </xf>
    <xf numFmtId="0" fontId="32" fillId="0" borderId="5" xfId="0" applyFont="1" applyBorder="1" applyAlignment="1">
      <alignment horizontal="center" wrapText="1"/>
    </xf>
    <xf numFmtId="0" fontId="0" fillId="0" borderId="4" xfId="0" applyBorder="1"/>
    <xf numFmtId="0" fontId="32" fillId="3" borderId="7" xfId="0" applyFont="1" applyFill="1" applyBorder="1" applyAlignment="1">
      <alignment horizontal="center" vertical="center" wrapText="1"/>
    </xf>
    <xf numFmtId="0" fontId="32" fillId="0" borderId="7" xfId="0" applyFont="1" applyBorder="1" applyAlignment="1">
      <alignment horizontal="center"/>
    </xf>
    <xf numFmtId="0" fontId="32" fillId="0" borderId="8" xfId="0" applyFont="1" applyBorder="1" applyAlignment="1">
      <alignment horizontal="center"/>
    </xf>
    <xf numFmtId="0" fontId="32" fillId="0" borderId="7" xfId="0" applyFont="1" applyBorder="1" applyAlignment="1">
      <alignment horizontal="center" wrapText="1"/>
    </xf>
    <xf numFmtId="0" fontId="32" fillId="0" borderId="8" xfId="0" applyFont="1" applyBorder="1" applyAlignment="1">
      <alignment horizontal="center" wrapText="1"/>
    </xf>
    <xf numFmtId="0" fontId="30" fillId="0" borderId="7" xfId="0" applyFont="1" applyBorder="1" applyAlignment="1">
      <alignment horizontal="center" wrapText="1"/>
    </xf>
    <xf numFmtId="0" fontId="0" fillId="0" borderId="7" xfId="0" applyBorder="1"/>
    <xf numFmtId="0" fontId="32" fillId="0" borderId="8" xfId="0" applyFont="1" applyBorder="1" applyAlignment="1">
      <alignment horizontal="center" vertical="center"/>
    </xf>
    <xf numFmtId="0" fontId="29" fillId="0" borderId="8" xfId="0" applyFont="1" applyBorder="1" applyAlignment="1">
      <alignment horizontal="center"/>
    </xf>
    <xf numFmtId="0" fontId="29" fillId="0" borderId="7" xfId="0" applyFont="1" applyBorder="1" applyAlignment="1">
      <alignment horizontal="center"/>
    </xf>
    <xf numFmtId="0" fontId="29" fillId="0" borderId="4" xfId="0" applyFont="1" applyBorder="1" applyAlignment="1">
      <alignment horizontal="center"/>
    </xf>
    <xf numFmtId="0" fontId="36" fillId="0" borderId="7" xfId="0" applyFont="1" applyBorder="1" applyAlignment="1">
      <alignment horizontal="center"/>
    </xf>
    <xf numFmtId="0" fontId="36" fillId="0" borderId="8" xfId="0" applyFont="1" applyBorder="1" applyAlignment="1">
      <alignment horizontal="center"/>
    </xf>
    <xf numFmtId="0" fontId="0" fillId="0" borderId="7" xfId="0" applyBorder="1" applyAlignment="1">
      <alignment horizontal="center"/>
    </xf>
    <xf numFmtId="0" fontId="32" fillId="0" borderId="7" xfId="0" applyFont="1" applyBorder="1"/>
    <xf numFmtId="0" fontId="0" fillId="0" borderId="8" xfId="0" applyBorder="1" applyAlignment="1">
      <alignment horizontal="center"/>
    </xf>
    <xf numFmtId="0" fontId="32" fillId="3" borderId="4" xfId="0" applyFont="1" applyFill="1" applyBorder="1"/>
    <xf numFmtId="0" fontId="27" fillId="0" borderId="7" xfId="0" applyFont="1" applyBorder="1" applyAlignment="1">
      <alignment horizontal="center" vertical="center"/>
    </xf>
    <xf numFmtId="0" fontId="27" fillId="0" borderId="8" xfId="0" applyFont="1" applyBorder="1" applyAlignment="1">
      <alignment horizontal="center" vertical="center"/>
    </xf>
    <xf numFmtId="0" fontId="32" fillId="0" borderId="2" xfId="0" applyFont="1" applyBorder="1"/>
    <xf numFmtId="0" fontId="27" fillId="0" borderId="0" xfId="0" applyFont="1" applyAlignment="1">
      <alignment horizontal="center"/>
    </xf>
    <xf numFmtId="0" fontId="27" fillId="0" borderId="0" xfId="0" applyFont="1" applyAlignment="1">
      <alignment horizontal="left"/>
    </xf>
    <xf numFmtId="0" fontId="27" fillId="0" borderId="2" xfId="0" applyFont="1" applyBorder="1" applyAlignment="1">
      <alignment horizontal="center"/>
    </xf>
    <xf numFmtId="0" fontId="27" fillId="0" borderId="2" xfId="0" applyFont="1" applyBorder="1" applyAlignment="1">
      <alignment horizontal="left"/>
    </xf>
    <xf numFmtId="0" fontId="0" fillId="0" borderId="4" xfId="0" applyBorder="1" applyAlignment="1">
      <alignment horizontal="center"/>
    </xf>
    <xf numFmtId="0" fontId="27" fillId="0" borderId="7" xfId="0" applyFont="1" applyBorder="1" applyAlignment="1">
      <alignment horizontal="center"/>
    </xf>
    <xf numFmtId="0" fontId="27" fillId="0" borderId="8" xfId="0" applyFont="1" applyBorder="1" applyAlignment="1">
      <alignment horizontal="center"/>
    </xf>
    <xf numFmtId="0" fontId="42" fillId="0" borderId="2" xfId="0" applyFont="1" applyBorder="1" applyAlignment="1">
      <alignment horizontal="center"/>
    </xf>
    <xf numFmtId="0" fontId="29" fillId="0" borderId="3" xfId="0" applyFont="1" applyBorder="1" applyAlignment="1">
      <alignment horizontal="center"/>
    </xf>
    <xf numFmtId="2" fontId="27" fillId="0" borderId="7" xfId="0" applyNumberFormat="1" applyFont="1" applyBorder="1" applyAlignment="1">
      <alignment horizontal="center" vertical="center"/>
    </xf>
    <xf numFmtId="2" fontId="27" fillId="0" borderId="8" xfId="0" applyNumberFormat="1" applyFont="1" applyBorder="1" applyAlignment="1">
      <alignment horizontal="center" vertical="center"/>
    </xf>
    <xf numFmtId="0" fontId="27" fillId="0" borderId="4" xfId="0" applyFont="1" applyBorder="1" applyAlignment="1">
      <alignment horizontal="center"/>
    </xf>
    <xf numFmtId="0" fontId="27" fillId="0" borderId="5" xfId="0" applyFont="1" applyBorder="1" applyAlignment="1">
      <alignment horizontal="center"/>
    </xf>
    <xf numFmtId="0" fontId="26" fillId="0" borderId="7" xfId="0" applyFont="1" applyBorder="1" applyAlignment="1">
      <alignment horizontal="center" vertical="center"/>
    </xf>
    <xf numFmtId="0" fontId="26" fillId="0" borderId="8" xfId="0" applyFont="1" applyBorder="1" applyAlignment="1">
      <alignment horizontal="center" vertical="center"/>
    </xf>
    <xf numFmtId="0" fontId="26" fillId="0" borderId="7" xfId="0" applyFont="1" applyBorder="1" applyAlignment="1">
      <alignment horizontal="center"/>
    </xf>
    <xf numFmtId="0" fontId="26" fillId="0" borderId="8" xfId="0" applyFont="1" applyBorder="1" applyAlignment="1">
      <alignment horizontal="center"/>
    </xf>
    <xf numFmtId="0" fontId="27" fillId="0" borderId="4" xfId="0" applyFont="1" applyBorder="1"/>
    <xf numFmtId="0" fontId="32" fillId="2" borderId="4" xfId="0" applyFont="1" applyFill="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47" fillId="0" borderId="0" xfId="0" applyFont="1" applyAlignment="1">
      <alignment horizontal="left" vertical="top" wrapText="1"/>
    </xf>
    <xf numFmtId="0" fontId="26" fillId="0" borderId="0" xfId="0" applyFont="1" applyAlignment="1">
      <alignment horizontal="left" vertical="top" wrapText="1"/>
    </xf>
    <xf numFmtId="0" fontId="48" fillId="0" borderId="0" xfId="0" applyFont="1" applyAlignment="1">
      <alignment horizontal="left" vertical="top" wrapText="1"/>
    </xf>
    <xf numFmtId="0" fontId="0" fillId="0" borderId="0" xfId="0" applyAlignment="1">
      <alignment horizontal="left" vertical="top" wrapText="1"/>
    </xf>
    <xf numFmtId="1" fontId="27" fillId="0" borderId="4" xfId="0" applyNumberFormat="1" applyFont="1" applyBorder="1" applyAlignment="1">
      <alignment horizontal="center" vertical="center"/>
    </xf>
    <xf numFmtId="1" fontId="27" fillId="0" borderId="5" xfId="0" applyNumberFormat="1" applyFont="1" applyBorder="1" applyAlignment="1">
      <alignment horizontal="center" vertical="center"/>
    </xf>
    <xf numFmtId="0" fontId="25" fillId="0" borderId="7" xfId="0" applyFont="1" applyBorder="1" applyAlignment="1">
      <alignment horizontal="center"/>
    </xf>
    <xf numFmtId="0" fontId="25" fillId="0" borderId="8" xfId="0" applyFont="1" applyBorder="1" applyAlignment="1">
      <alignment horizontal="center"/>
    </xf>
    <xf numFmtId="0" fontId="49" fillId="4" borderId="9" xfId="0" applyFont="1" applyFill="1" applyBorder="1" applyAlignment="1">
      <alignment horizontal="center" vertical="top" wrapText="1"/>
    </xf>
    <xf numFmtId="2" fontId="27" fillId="0" borderId="4" xfId="0" applyNumberFormat="1" applyFont="1" applyBorder="1" applyAlignment="1">
      <alignment horizontal="center" vertical="center"/>
    </xf>
    <xf numFmtId="2" fontId="27" fillId="0" borderId="5" xfId="0" applyNumberFormat="1" applyFont="1" applyBorder="1" applyAlignment="1">
      <alignment horizontal="center" vertical="center"/>
    </xf>
    <xf numFmtId="0" fontId="26" fillId="0" borderId="4" xfId="0" applyFont="1" applyBorder="1" applyAlignment="1">
      <alignment horizontal="center"/>
    </xf>
    <xf numFmtId="0" fontId="25" fillId="0" borderId="4" xfId="0" applyFont="1" applyBorder="1" applyAlignment="1">
      <alignment horizontal="center"/>
    </xf>
    <xf numFmtId="0" fontId="49" fillId="4" borderId="8" xfId="0" applyFont="1" applyFill="1" applyBorder="1" applyAlignment="1">
      <alignment horizontal="center" vertical="top" wrapText="1"/>
    </xf>
    <xf numFmtId="0" fontId="32" fillId="3" borderId="4" xfId="0" applyFont="1" applyFill="1" applyBorder="1" applyAlignment="1">
      <alignment horizontal="center" vertical="center" wrapText="1"/>
    </xf>
    <xf numFmtId="0" fontId="0" fillId="0" borderId="5" xfId="0" applyBorder="1" applyAlignment="1">
      <alignment horizontal="center"/>
    </xf>
    <xf numFmtId="0" fontId="48" fillId="0" borderId="4" xfId="0" applyFont="1" applyBorder="1" applyAlignment="1">
      <alignment horizontal="center" vertical="top" wrapText="1"/>
    </xf>
    <xf numFmtId="0" fontId="48" fillId="0" borderId="5" xfId="0" applyFont="1" applyBorder="1" applyAlignment="1">
      <alignment horizontal="center" vertical="top" wrapText="1"/>
    </xf>
    <xf numFmtId="49" fontId="32" fillId="3" borderId="4" xfId="0" applyNumberFormat="1" applyFont="1" applyFill="1" applyBorder="1" applyAlignment="1">
      <alignment horizontal="center" vertical="center" wrapText="1"/>
    </xf>
    <xf numFmtId="0" fontId="0" fillId="3" borderId="0" xfId="0" applyFill="1" applyAlignment="1">
      <alignment vertical="center" wrapText="1"/>
    </xf>
    <xf numFmtId="0" fontId="25" fillId="0" borderId="5" xfId="0" applyFont="1" applyBorder="1" applyAlignment="1">
      <alignment horizontal="center"/>
    </xf>
    <xf numFmtId="0" fontId="24" fillId="0" borderId="5" xfId="0" applyFont="1" applyBorder="1" applyAlignment="1">
      <alignment horizontal="center"/>
    </xf>
    <xf numFmtId="0" fontId="0" fillId="0" borderId="4" xfId="0" applyBorder="1" applyAlignment="1">
      <alignment horizontal="center" wrapText="1"/>
    </xf>
    <xf numFmtId="0" fontId="24" fillId="0" borderId="7" xfId="0" applyFont="1" applyBorder="1" applyAlignment="1">
      <alignment horizontal="center" vertical="center" wrapText="1"/>
    </xf>
    <xf numFmtId="0" fontId="24" fillId="0" borderId="7" xfId="0" applyFont="1" applyBorder="1" applyAlignment="1">
      <alignment horizontal="center"/>
    </xf>
    <xf numFmtId="0" fontId="29" fillId="0" borderId="5" xfId="0" applyFont="1" applyBorder="1" applyAlignment="1">
      <alignment horizontal="center"/>
    </xf>
    <xf numFmtId="0" fontId="26" fillId="0" borderId="4" xfId="0" applyFont="1" applyBorder="1" applyAlignment="1">
      <alignment horizontal="center" vertical="center"/>
    </xf>
    <xf numFmtId="0" fontId="29" fillId="0" borderId="6" xfId="0" applyFont="1" applyBorder="1" applyAlignment="1">
      <alignment horizontal="center"/>
    </xf>
    <xf numFmtId="0" fontId="36" fillId="0" borderId="4" xfId="0" applyFont="1" applyBorder="1" applyAlignment="1">
      <alignment horizontal="center"/>
    </xf>
    <xf numFmtId="0" fontId="36" fillId="0" borderId="5" xfId="0" applyFont="1" applyBorder="1" applyAlignment="1">
      <alignment horizontal="center"/>
    </xf>
    <xf numFmtId="0" fontId="26" fillId="0" borderId="5" xfId="0" applyFont="1" applyBorder="1" applyAlignment="1">
      <alignment horizontal="center" vertical="center"/>
    </xf>
    <xf numFmtId="0" fontId="0" fillId="0" borderId="5" xfId="0" applyBorder="1" applyAlignment="1">
      <alignment horizontal="center" wrapText="1"/>
    </xf>
    <xf numFmtId="0" fontId="43" fillId="0" borderId="5" xfId="0" applyFont="1" applyBorder="1" applyAlignment="1">
      <alignment horizontal="center"/>
    </xf>
    <xf numFmtId="0" fontId="29" fillId="0" borderId="4" xfId="0" applyFont="1" applyBorder="1" applyAlignment="1">
      <alignment horizontal="center" wrapText="1"/>
    </xf>
    <xf numFmtId="0" fontId="29" fillId="0" borderId="5" xfId="0" applyFont="1" applyBorder="1" applyAlignment="1">
      <alignment horizontal="center" wrapText="1"/>
    </xf>
    <xf numFmtId="0" fontId="49" fillId="0" borderId="8" xfId="0" applyFont="1" applyBorder="1" applyAlignment="1">
      <alignment horizontal="center" vertical="top" wrapText="1"/>
    </xf>
    <xf numFmtId="0" fontId="24" fillId="0" borderId="8" xfId="0" applyFont="1" applyBorder="1" applyAlignment="1">
      <alignment horizontal="center" vertical="center"/>
    </xf>
    <xf numFmtId="0" fontId="24" fillId="0" borderId="8" xfId="0" applyFont="1" applyBorder="1" applyAlignment="1">
      <alignment horizontal="center"/>
    </xf>
    <xf numFmtId="0" fontId="24" fillId="0" borderId="6" xfId="0" applyFont="1" applyBorder="1" applyAlignment="1">
      <alignment horizontal="center" vertical="center"/>
    </xf>
    <xf numFmtId="0" fontId="24" fillId="0" borderId="1" xfId="0" applyFont="1" applyBorder="1" applyAlignment="1">
      <alignment horizontal="center"/>
    </xf>
    <xf numFmtId="0" fontId="24" fillId="0" borderId="5" xfId="0" applyFont="1" applyBorder="1" applyAlignment="1">
      <alignment horizontal="center" vertical="center"/>
    </xf>
    <xf numFmtId="0" fontId="26" fillId="0" borderId="6" xfId="0" applyFont="1" applyBorder="1" applyAlignment="1">
      <alignment horizontal="center" vertical="center"/>
    </xf>
    <xf numFmtId="0" fontId="36" fillId="0" borderId="6" xfId="0" applyFont="1" applyBorder="1" applyAlignment="1">
      <alignment horizontal="center"/>
    </xf>
    <xf numFmtId="0" fontId="53" fillId="0" borderId="3" xfId="0" applyFont="1" applyBorder="1" applyAlignment="1">
      <alignment horizontal="center"/>
    </xf>
    <xf numFmtId="0" fontId="24" fillId="0" borderId="7" xfId="0" applyFont="1" applyBorder="1" applyAlignment="1">
      <alignment horizontal="center" vertical="center"/>
    </xf>
    <xf numFmtId="0" fontId="24" fillId="0" borderId="8" xfId="0" applyFont="1" applyBorder="1" applyAlignment="1">
      <alignment horizontal="center" vertical="center" wrapText="1"/>
    </xf>
    <xf numFmtId="0" fontId="36" fillId="0" borderId="7" xfId="0" applyFont="1" applyBorder="1" applyAlignment="1">
      <alignment horizontal="center" wrapText="1"/>
    </xf>
    <xf numFmtId="0" fontId="36" fillId="0" borderId="8" xfId="0" applyFont="1" applyBorder="1" applyAlignment="1">
      <alignment horizontal="center" wrapText="1"/>
    </xf>
    <xf numFmtId="0" fontId="24" fillId="0" borderId="4" xfId="0" applyFont="1" applyBorder="1" applyAlignment="1">
      <alignment horizontal="center" vertical="center"/>
    </xf>
    <xf numFmtId="0" fontId="0" fillId="0" borderId="7" xfId="0" applyBorder="1" applyAlignment="1">
      <alignment horizontal="center" wrapText="1"/>
    </xf>
    <xf numFmtId="0" fontId="27" fillId="0" borderId="0" xfId="0" applyFont="1"/>
    <xf numFmtId="0" fontId="32" fillId="2" borderId="7" xfId="0" applyFont="1" applyFill="1" applyBorder="1" applyAlignment="1">
      <alignment horizontal="center"/>
    </xf>
    <xf numFmtId="0" fontId="23" fillId="0" borderId="7" xfId="0" applyFont="1" applyBorder="1" applyAlignment="1">
      <alignment horizontal="center"/>
    </xf>
    <xf numFmtId="0" fontId="23" fillId="0" borderId="7" xfId="0" applyFont="1" applyBorder="1" applyAlignment="1">
      <alignment horizontal="center" vertical="center" wrapText="1"/>
    </xf>
    <xf numFmtId="0" fontId="23" fillId="0" borderId="4" xfId="0" applyFont="1" applyBorder="1" applyAlignment="1">
      <alignment horizontal="center"/>
    </xf>
    <xf numFmtId="3" fontId="23" fillId="0" borderId="7" xfId="0" applyNumberFormat="1" applyFont="1" applyBorder="1" applyAlignment="1">
      <alignment horizontal="center" vertical="center" wrapText="1"/>
    </xf>
    <xf numFmtId="0" fontId="23" fillId="0" borderId="8" xfId="0" applyFont="1" applyBorder="1" applyAlignment="1">
      <alignment horizontal="center"/>
    </xf>
    <xf numFmtId="3" fontId="23" fillId="0" borderId="8" xfId="0" applyNumberFormat="1" applyFont="1" applyBorder="1" applyAlignment="1">
      <alignment horizontal="center" vertical="center" wrapText="1"/>
    </xf>
    <xf numFmtId="0" fontId="23" fillId="0" borderId="5" xfId="0" applyFont="1" applyBorder="1" applyAlignment="1">
      <alignment horizontal="center"/>
    </xf>
    <xf numFmtId="0" fontId="27" fillId="0" borderId="4" xfId="0" applyFont="1" applyBorder="1" applyAlignment="1">
      <alignment horizontal="center" vertical="center"/>
    </xf>
    <xf numFmtId="0" fontId="49" fillId="0" borderId="0" xfId="0" applyFont="1" applyAlignment="1">
      <alignment horizontal="center"/>
    </xf>
    <xf numFmtId="0" fontId="49" fillId="0" borderId="2" xfId="0" applyFont="1" applyBorder="1" applyAlignment="1">
      <alignment horizontal="center"/>
    </xf>
    <xf numFmtId="0" fontId="50" fillId="0" borderId="7" xfId="0" applyFont="1" applyBorder="1" applyAlignment="1">
      <alignment horizontal="center" vertical="center" wrapText="1"/>
    </xf>
    <xf numFmtId="0" fontId="21" fillId="0" borderId="7" xfId="0" applyFont="1" applyBorder="1" applyAlignment="1">
      <alignment horizontal="center" vertical="center" wrapText="1"/>
    </xf>
    <xf numFmtId="0" fontId="21" fillId="0" borderId="7" xfId="0" applyFont="1" applyBorder="1" applyAlignment="1">
      <alignment horizontal="center"/>
    </xf>
    <xf numFmtId="0" fontId="21" fillId="0" borderId="8" xfId="0" applyFont="1" applyBorder="1" applyAlignment="1">
      <alignment horizontal="center"/>
    </xf>
    <xf numFmtId="0" fontId="21" fillId="0" borderId="8" xfId="0" applyFont="1" applyBorder="1" applyAlignment="1">
      <alignment horizontal="center" vertical="center" wrapText="1"/>
    </xf>
    <xf numFmtId="0" fontId="19" fillId="0" borderId="4"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vertical="center"/>
    </xf>
    <xf numFmtId="0" fontId="19" fillId="0" borderId="7" xfId="0" applyFont="1" applyBorder="1" applyAlignment="1">
      <alignment horizontal="center"/>
    </xf>
    <xf numFmtId="0" fontId="19" fillId="0" borderId="4" xfId="0" applyFont="1" applyBorder="1" applyAlignment="1">
      <alignment horizontal="center" wrapText="1"/>
    </xf>
    <xf numFmtId="0" fontId="19" fillId="0" borderId="8" xfId="0" applyFont="1" applyBorder="1" applyAlignment="1">
      <alignment horizontal="center"/>
    </xf>
    <xf numFmtId="0" fontId="19" fillId="0" borderId="5" xfId="0" applyFont="1" applyBorder="1" applyAlignment="1">
      <alignment horizontal="center" vertical="center"/>
    </xf>
    <xf numFmtId="0" fontId="19" fillId="0" borderId="5" xfId="0" applyFont="1" applyBorder="1" applyAlignment="1">
      <alignment horizontal="center" wrapText="1"/>
    </xf>
    <xf numFmtId="0" fontId="18" fillId="0" borderId="7" xfId="0" applyFont="1" applyBorder="1" applyAlignment="1">
      <alignment horizontal="center"/>
    </xf>
    <xf numFmtId="0" fontId="18" fillId="0" borderId="8" xfId="0" applyFont="1" applyBorder="1" applyAlignment="1">
      <alignment horizontal="center"/>
    </xf>
    <xf numFmtId="0" fontId="18" fillId="0" borderId="0" xfId="0" applyFont="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18" fillId="0" borderId="4" xfId="0" applyFont="1" applyBorder="1" applyAlignment="1">
      <alignment horizontal="center" wrapText="1"/>
    </xf>
    <xf numFmtId="0" fontId="18" fillId="0" borderId="2" xfId="0" applyFont="1" applyBorder="1" applyAlignment="1">
      <alignment horizontal="center"/>
    </xf>
    <xf numFmtId="0" fontId="19" fillId="0" borderId="8" xfId="0" applyFont="1" applyBorder="1" applyAlignment="1">
      <alignment horizontal="center" wrapText="1"/>
    </xf>
    <xf numFmtId="0" fontId="23" fillId="0" borderId="7" xfId="0" applyFont="1" applyBorder="1"/>
    <xf numFmtId="0" fontId="22" fillId="0" borderId="7" xfId="0" applyFont="1" applyBorder="1" applyAlignment="1">
      <alignment horizontal="center"/>
    </xf>
    <xf numFmtId="0" fontId="22" fillId="0" borderId="8" xfId="0" applyFont="1" applyBorder="1" applyAlignment="1">
      <alignment horizontal="center"/>
    </xf>
    <xf numFmtId="0" fontId="29" fillId="0" borderId="7" xfId="0" applyFont="1" applyBorder="1" applyAlignment="1">
      <alignment horizontal="center" wrapText="1"/>
    </xf>
    <xf numFmtId="0" fontId="18" fillId="0" borderId="4" xfId="0" applyFont="1" applyBorder="1" applyAlignment="1">
      <alignment horizontal="center" vertical="center" wrapText="1"/>
    </xf>
    <xf numFmtId="0" fontId="18" fillId="0" borderId="5" xfId="0" applyFont="1" applyBorder="1" applyAlignment="1">
      <alignment horizontal="center" vertical="center" wrapText="1"/>
    </xf>
    <xf numFmtId="0" fontId="23" fillId="0" borderId="8" xfId="0" applyFont="1" applyBorder="1" applyAlignment="1">
      <alignment horizontal="center" vertical="center" wrapText="1"/>
    </xf>
    <xf numFmtId="0" fontId="27" fillId="0" borderId="5" xfId="0" applyFont="1" applyBorder="1" applyAlignment="1">
      <alignment horizontal="center" vertical="center"/>
    </xf>
    <xf numFmtId="0" fontId="50" fillId="0" borderId="7" xfId="0" applyFont="1" applyBorder="1" applyAlignment="1">
      <alignment horizontal="center" vertical="top" wrapText="1"/>
    </xf>
    <xf numFmtId="0" fontId="50" fillId="0" borderId="8" xfId="0" applyFont="1" applyBorder="1" applyAlignment="1">
      <alignment horizontal="center" vertical="center" wrapText="1"/>
    </xf>
    <xf numFmtId="0" fontId="26" fillId="0" borderId="1" xfId="0" applyFont="1" applyBorder="1" applyAlignment="1">
      <alignment horizontal="center" vertical="center"/>
    </xf>
    <xf numFmtId="0" fontId="44" fillId="0" borderId="7" xfId="0" applyFont="1" applyBorder="1" applyAlignment="1">
      <alignment horizontal="center"/>
    </xf>
    <xf numFmtId="0" fontId="44" fillId="0" borderId="8" xfId="0" applyFont="1" applyBorder="1" applyAlignment="1">
      <alignment horizontal="center"/>
    </xf>
    <xf numFmtId="0" fontId="17" fillId="0" borderId="7" xfId="0" applyFont="1" applyBorder="1" applyAlignment="1">
      <alignment horizontal="center"/>
    </xf>
    <xf numFmtId="0" fontId="17" fillId="0" borderId="8" xfId="0" applyFont="1" applyBorder="1" applyAlignment="1">
      <alignment horizontal="center"/>
    </xf>
    <xf numFmtId="0" fontId="37" fillId="0" borderId="2" xfId="0" applyFont="1" applyBorder="1"/>
    <xf numFmtId="0" fontId="17" fillId="0" borderId="4" xfId="0" applyFont="1" applyBorder="1" applyAlignment="1">
      <alignment horizontal="center"/>
    </xf>
    <xf numFmtId="0" fontId="17" fillId="0" borderId="5" xfId="0" applyFont="1" applyBorder="1" applyAlignment="1">
      <alignment horizontal="center"/>
    </xf>
    <xf numFmtId="0" fontId="27" fillId="0" borderId="7" xfId="0" applyFont="1" applyBorder="1" applyAlignment="1">
      <alignment horizontal="center" wrapText="1"/>
    </xf>
    <xf numFmtId="0" fontId="17" fillId="0" borderId="5" xfId="0" applyFont="1" applyBorder="1" applyAlignment="1">
      <alignment horizontal="center" vertical="center"/>
    </xf>
    <xf numFmtId="0" fontId="17" fillId="0" borderId="8" xfId="0" applyFont="1" applyBorder="1" applyAlignment="1">
      <alignment horizontal="center" vertical="center"/>
    </xf>
    <xf numFmtId="0" fontId="36" fillId="0" borderId="5" xfId="0" applyFont="1" applyBorder="1" applyAlignment="1">
      <alignment horizontal="center" vertical="center"/>
    </xf>
    <xf numFmtId="0" fontId="17" fillId="0" borderId="2" xfId="0" applyFont="1" applyBorder="1" applyAlignment="1">
      <alignment horizontal="center" vertical="center"/>
    </xf>
    <xf numFmtId="0" fontId="16" fillId="0" borderId="7" xfId="0" applyFont="1" applyBorder="1" applyAlignment="1">
      <alignment horizontal="center"/>
    </xf>
    <xf numFmtId="0" fontId="16" fillId="0" borderId="8" xfId="0" applyFont="1" applyBorder="1" applyAlignment="1">
      <alignment horizontal="center"/>
    </xf>
    <xf numFmtId="0" fontId="16" fillId="0" borderId="4" xfId="0" applyFont="1" applyBorder="1" applyAlignment="1">
      <alignment horizontal="center"/>
    </xf>
    <xf numFmtId="0" fontId="16" fillId="0" borderId="5" xfId="0" applyFont="1" applyBorder="1" applyAlignment="1">
      <alignment horizont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0" fillId="0" borderId="8" xfId="0" applyBorder="1" applyAlignment="1">
      <alignment horizontal="center" wrapText="1"/>
    </xf>
    <xf numFmtId="1" fontId="24" fillId="0" borderId="5" xfId="0" applyNumberFormat="1" applyFont="1" applyBorder="1" applyAlignment="1">
      <alignment horizontal="center" vertical="center"/>
    </xf>
    <xf numFmtId="0" fontId="24" fillId="0" borderId="2" xfId="0" applyFont="1" applyBorder="1" applyAlignment="1">
      <alignment horizontal="center"/>
    </xf>
    <xf numFmtId="0" fontId="49" fillId="0" borderId="5" xfId="0" applyFont="1" applyBorder="1" applyAlignment="1">
      <alignment horizontal="center" vertical="top" wrapText="1"/>
    </xf>
    <xf numFmtId="0" fontId="45" fillId="0" borderId="7" xfId="0" applyFont="1" applyBorder="1" applyAlignment="1">
      <alignment horizontal="center" vertical="center" wrapText="1"/>
    </xf>
    <xf numFmtId="0" fontId="52" fillId="0" borderId="4" xfId="0" applyFont="1" applyBorder="1" applyAlignment="1">
      <alignment horizontal="center" vertical="top" wrapText="1"/>
    </xf>
    <xf numFmtId="0" fontId="52" fillId="0" borderId="5" xfId="0" applyFont="1" applyBorder="1" applyAlignment="1">
      <alignment horizontal="center" vertical="top" wrapText="1"/>
    </xf>
    <xf numFmtId="2" fontId="23" fillId="0" borderId="4" xfId="0" applyNumberFormat="1" applyFont="1" applyBorder="1" applyAlignment="1">
      <alignment horizontal="center"/>
    </xf>
    <xf numFmtId="2" fontId="23" fillId="0" borderId="5" xfId="0" applyNumberFormat="1" applyFont="1" applyBorder="1" applyAlignment="1">
      <alignment horizontal="center"/>
    </xf>
    <xf numFmtId="2" fontId="18" fillId="0" borderId="4" xfId="0" applyNumberFormat="1" applyFont="1" applyBorder="1" applyAlignment="1">
      <alignment horizontal="center" vertical="center"/>
    </xf>
    <xf numFmtId="49" fontId="32" fillId="3" borderId="7" xfId="0" applyNumberFormat="1" applyFont="1" applyFill="1" applyBorder="1" applyAlignment="1">
      <alignment horizontal="center" vertical="center" wrapText="1"/>
    </xf>
    <xf numFmtId="0" fontId="23" fillId="0" borderId="8" xfId="0" applyFont="1" applyBorder="1"/>
    <xf numFmtId="0" fontId="20" fillId="0" borderId="7" xfId="0" applyFont="1" applyBorder="1" applyAlignment="1">
      <alignment horizontal="center"/>
    </xf>
    <xf numFmtId="0" fontId="20" fillId="0" borderId="8" xfId="0" applyFont="1" applyBorder="1" applyAlignment="1">
      <alignment horizontal="center"/>
    </xf>
    <xf numFmtId="0" fontId="16" fillId="0" borderId="7" xfId="0" applyFont="1" applyBorder="1" applyAlignment="1">
      <alignment wrapText="1"/>
    </xf>
    <xf numFmtId="0" fontId="16" fillId="0" borderId="8" xfId="0" applyFont="1" applyBorder="1" applyAlignment="1">
      <alignment wrapText="1"/>
    </xf>
    <xf numFmtId="1" fontId="27" fillId="0" borderId="7" xfId="0" applyNumberFormat="1" applyFont="1" applyBorder="1" applyAlignment="1">
      <alignment horizontal="center" vertical="center"/>
    </xf>
    <xf numFmtId="1" fontId="27" fillId="0" borderId="8" xfId="0" applyNumberFormat="1" applyFont="1" applyBorder="1" applyAlignment="1">
      <alignment horizontal="center" vertical="center"/>
    </xf>
    <xf numFmtId="1" fontId="24" fillId="0" borderId="8" xfId="0" applyNumberFormat="1" applyFont="1" applyBorder="1" applyAlignment="1">
      <alignment horizontal="center" vertical="center"/>
    </xf>
    <xf numFmtId="16" fontId="24" fillId="0" borderId="8" xfId="0" applyNumberFormat="1" applyFont="1" applyBorder="1" applyAlignment="1">
      <alignment horizontal="center"/>
    </xf>
    <xf numFmtId="0" fontId="23" fillId="0" borderId="0" xfId="0" applyFont="1" applyAlignment="1">
      <alignment horizontal="center" vertical="center" wrapText="1"/>
    </xf>
    <xf numFmtId="0" fontId="36" fillId="0" borderId="0" xfId="0" applyFont="1" applyAlignment="1">
      <alignment horizontal="center"/>
    </xf>
    <xf numFmtId="0" fontId="26" fillId="0" borderId="0" xfId="0" applyFont="1" applyAlignment="1">
      <alignment horizontal="center" vertical="center"/>
    </xf>
    <xf numFmtId="0" fontId="15" fillId="0" borderId="0" xfId="0" applyFont="1" applyAlignment="1">
      <alignment horizontal="center" vertical="center"/>
    </xf>
    <xf numFmtId="0" fontId="27" fillId="0" borderId="0" xfId="0" applyFont="1" applyAlignment="1">
      <alignment horizontal="center" wrapText="1"/>
    </xf>
    <xf numFmtId="0" fontId="47" fillId="0" borderId="4" xfId="0" applyFont="1" applyBorder="1" applyAlignment="1">
      <alignment horizontal="center" vertical="top" wrapText="1"/>
    </xf>
    <xf numFmtId="46" fontId="0" fillId="0" borderId="7" xfId="0" applyNumberFormat="1" applyBorder="1" applyAlignment="1">
      <alignment horizontal="center"/>
    </xf>
    <xf numFmtId="0" fontId="0" fillId="0" borderId="8" xfId="0" applyBorder="1" applyAlignment="1">
      <alignment horizontal="center" vertical="center"/>
    </xf>
    <xf numFmtId="0" fontId="14" fillId="0" borderId="7" xfId="0" applyFont="1" applyBorder="1" applyAlignment="1">
      <alignment horizontal="center"/>
    </xf>
    <xf numFmtId="0" fontId="50" fillId="0" borderId="4" xfId="0" applyFont="1" applyBorder="1" applyAlignment="1">
      <alignment horizontal="center" vertical="center" wrapText="1"/>
    </xf>
    <xf numFmtId="0" fontId="50" fillId="0" borderId="5" xfId="0" applyFont="1" applyBorder="1" applyAlignment="1">
      <alignment horizontal="center" vertical="center" wrapText="1"/>
    </xf>
    <xf numFmtId="0" fontId="13" fillId="0" borderId="4" xfId="0" applyFont="1" applyBorder="1" applyAlignment="1">
      <alignment horizontal="center"/>
    </xf>
    <xf numFmtId="0" fontId="13" fillId="0" borderId="5" xfId="0" applyFont="1" applyBorder="1" applyAlignment="1">
      <alignment horizontal="center"/>
    </xf>
    <xf numFmtId="0" fontId="50" fillId="0" borderId="8" xfId="0" applyFont="1" applyBorder="1" applyAlignment="1">
      <alignment horizontal="center" vertical="top" wrapText="1"/>
    </xf>
    <xf numFmtId="0" fontId="0" fillId="0" borderId="2" xfId="0" applyBorder="1" applyAlignment="1">
      <alignment horizont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50" fillId="0" borderId="4" xfId="0" applyFont="1" applyBorder="1" applyAlignment="1">
      <alignment horizontal="center" vertical="top" wrapText="1"/>
    </xf>
    <xf numFmtId="0" fontId="52" fillId="0" borderId="7" xfId="0" applyFont="1" applyBorder="1" applyAlignment="1">
      <alignment horizontal="center" vertical="top" wrapText="1"/>
    </xf>
    <xf numFmtId="0" fontId="52" fillId="0" borderId="8" xfId="0" applyFont="1" applyBorder="1" applyAlignment="1">
      <alignment horizontal="center" vertical="top" wrapText="1"/>
    </xf>
    <xf numFmtId="167" fontId="23" fillId="0" borderId="7" xfId="0" applyNumberFormat="1" applyFont="1" applyBorder="1" applyAlignment="1">
      <alignment horizontal="center" vertical="center" wrapText="1"/>
    </xf>
    <xf numFmtId="167" fontId="23" fillId="0" borderId="8" xfId="0" applyNumberFormat="1" applyFont="1" applyBorder="1" applyAlignment="1">
      <alignment horizontal="center" vertical="center" wrapText="1"/>
    </xf>
    <xf numFmtId="3" fontId="51" fillId="0" borderId="7" xfId="0" applyNumberFormat="1" applyFont="1" applyBorder="1" applyAlignment="1">
      <alignment horizontal="center" vertical="center" wrapText="1"/>
    </xf>
    <xf numFmtId="0" fontId="12" fillId="0" borderId="4" xfId="0" applyFont="1" applyBorder="1" applyAlignment="1">
      <alignment horizontal="center"/>
    </xf>
    <xf numFmtId="0" fontId="12" fillId="0" borderId="4" xfId="0" applyFont="1" applyBorder="1" applyAlignment="1">
      <alignment horizontal="center" wrapText="1"/>
    </xf>
    <xf numFmtId="0" fontId="12" fillId="0" borderId="5" xfId="0" applyFont="1" applyBorder="1" applyAlignment="1">
      <alignment horizontal="center"/>
    </xf>
    <xf numFmtId="0" fontId="14" fillId="0" borderId="8" xfId="0" applyFont="1" applyBorder="1" applyAlignment="1">
      <alignment horizontal="center"/>
    </xf>
    <xf numFmtId="0" fontId="12" fillId="0" borderId="7" xfId="0" applyFont="1" applyBorder="1" applyAlignment="1">
      <alignment horizontal="center" wrapText="1"/>
    </xf>
    <xf numFmtId="0" fontId="18" fillId="0" borderId="5" xfId="0" applyFont="1" applyBorder="1" applyAlignment="1">
      <alignment horizontal="center" wrapText="1"/>
    </xf>
    <xf numFmtId="0" fontId="11" fillId="0" borderId="4" xfId="0" applyFont="1" applyBorder="1" applyAlignment="1">
      <alignment horizontal="center"/>
    </xf>
    <xf numFmtId="0" fontId="11" fillId="0" borderId="5" xfId="0" applyFont="1" applyBorder="1" applyAlignment="1">
      <alignment horizontal="center"/>
    </xf>
    <xf numFmtId="0" fontId="11" fillId="0" borderId="7" xfId="0" applyFont="1" applyBorder="1" applyAlignment="1">
      <alignment horizontal="center"/>
    </xf>
    <xf numFmtId="0" fontId="11" fillId="0" borderId="8" xfId="0" applyFont="1" applyBorder="1" applyAlignment="1">
      <alignment horizontal="center"/>
    </xf>
    <xf numFmtId="0" fontId="11" fillId="0" borderId="4" xfId="0" applyFont="1" applyBorder="1"/>
    <xf numFmtId="0" fontId="11" fillId="0" borderId="7" xfId="0" applyFont="1" applyBorder="1" applyAlignment="1">
      <alignment horizontal="center" vertical="top" wrapText="1"/>
    </xf>
    <xf numFmtId="0" fontId="11" fillId="0" borderId="7" xfId="0" applyFont="1" applyBorder="1" applyAlignment="1">
      <alignment horizontal="center" vertical="center" wrapText="1"/>
    </xf>
    <xf numFmtId="2" fontId="10" fillId="0" borderId="4" xfId="0" applyNumberFormat="1" applyFont="1" applyBorder="1" applyAlignment="1">
      <alignment horizontal="center" vertical="center" wrapText="1"/>
    </xf>
    <xf numFmtId="2" fontId="10" fillId="0" borderId="5" xfId="0" applyNumberFormat="1" applyFont="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2" fontId="10" fillId="0" borderId="4" xfId="0" applyNumberFormat="1" applyFont="1" applyBorder="1" applyAlignment="1">
      <alignment horizontal="center" vertical="center"/>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5" xfId="0" applyFont="1" applyBorder="1" applyAlignment="1">
      <alignment horizontal="center" wrapText="1"/>
    </xf>
    <xf numFmtId="0" fontId="10" fillId="0" borderId="4" xfId="0" applyFont="1" applyBorder="1"/>
    <xf numFmtId="0" fontId="9" fillId="0" borderId="8" xfId="0" applyFont="1" applyBorder="1" applyAlignment="1">
      <alignment horizontal="center"/>
    </xf>
    <xf numFmtId="0" fontId="29" fillId="0" borderId="8" xfId="0" applyFont="1" applyBorder="1" applyAlignment="1">
      <alignment horizontal="center" wrapText="1"/>
    </xf>
    <xf numFmtId="0" fontId="42" fillId="0" borderId="5" xfId="0" applyFont="1" applyBorder="1" applyAlignment="1">
      <alignment horizontal="center"/>
    </xf>
    <xf numFmtId="0" fontId="49" fillId="0" borderId="4" xfId="0" applyFont="1" applyBorder="1" applyAlignment="1">
      <alignment horizontal="center"/>
    </xf>
    <xf numFmtId="0" fontId="36" fillId="0" borderId="1" xfId="0" applyFont="1" applyBorder="1" applyAlignment="1">
      <alignment horizontal="center"/>
    </xf>
    <xf numFmtId="0" fontId="26" fillId="0" borderId="5" xfId="0" applyFont="1" applyBorder="1" applyAlignment="1">
      <alignment horizontal="center"/>
    </xf>
    <xf numFmtId="0" fontId="9" fillId="0" borderId="4" xfId="0" applyFont="1" applyBorder="1" applyAlignment="1">
      <alignment horizontal="center" wrapText="1"/>
    </xf>
    <xf numFmtId="0" fontId="9" fillId="0" borderId="4" xfId="0" applyFont="1" applyBorder="1" applyAlignment="1">
      <alignment horizontal="center"/>
    </xf>
    <xf numFmtId="0" fontId="9" fillId="0" borderId="5" xfId="0" applyFont="1" applyBorder="1" applyAlignment="1">
      <alignment horizontal="center"/>
    </xf>
    <xf numFmtId="0" fontId="9" fillId="0" borderId="7" xfId="0" applyFont="1" applyBorder="1" applyAlignment="1">
      <alignment horizontal="center" wrapText="1"/>
    </xf>
    <xf numFmtId="0" fontId="9" fillId="0" borderId="8" xfId="0" applyFont="1" applyBorder="1" applyAlignment="1">
      <alignment horizontal="center" wrapText="1"/>
    </xf>
    <xf numFmtId="0" fontId="9" fillId="0" borderId="7" xfId="0" applyFont="1" applyBorder="1" applyAlignment="1">
      <alignment horizontal="center"/>
    </xf>
    <xf numFmtId="0" fontId="17" fillId="0" borderId="7" xfId="0" applyFont="1" applyBorder="1" applyAlignment="1">
      <alignment horizontal="center" wrapText="1"/>
    </xf>
    <xf numFmtId="0" fontId="9" fillId="0" borderId="1" xfId="0" applyFont="1" applyBorder="1" applyAlignment="1">
      <alignment horizontal="center" wrapText="1"/>
    </xf>
    <xf numFmtId="0" fontId="9" fillId="0" borderId="7" xfId="0" applyFont="1" applyBorder="1" applyAlignment="1">
      <alignment horizontal="center" vertical="center" wrapText="1"/>
    </xf>
    <xf numFmtId="0" fontId="17" fillId="0" borderId="8" xfId="0" applyFont="1" applyBorder="1" applyAlignment="1">
      <alignment horizontal="center" wrapText="1"/>
    </xf>
    <xf numFmtId="0" fontId="9" fillId="0" borderId="0" xfId="0" applyFont="1" applyAlignment="1">
      <alignment horizontal="center"/>
    </xf>
    <xf numFmtId="0" fontId="0" fillId="0" borderId="5" xfId="0" applyBorder="1" applyAlignment="1">
      <alignment horizontal="center" vertical="center"/>
    </xf>
    <xf numFmtId="0" fontId="58" fillId="0" borderId="5" xfId="0" applyFont="1" applyBorder="1" applyAlignment="1">
      <alignment horizontal="center"/>
    </xf>
    <xf numFmtId="2" fontId="9" fillId="0" borderId="4" xfId="0" applyNumberFormat="1" applyFont="1" applyBorder="1" applyAlignment="1">
      <alignment horizontal="center" vertical="center"/>
    </xf>
    <xf numFmtId="2" fontId="9" fillId="0" borderId="5" xfId="0" applyNumberFormat="1" applyFont="1" applyBorder="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top" wrapText="1"/>
    </xf>
    <xf numFmtId="0" fontId="12" fillId="0" borderId="5" xfId="0" applyFont="1" applyBorder="1" applyAlignment="1">
      <alignment horizontal="center" vertical="top" wrapText="1"/>
    </xf>
    <xf numFmtId="0" fontId="0" fillId="0" borderId="4" xfId="0" applyBorder="1" applyAlignment="1">
      <alignment wrapText="1"/>
    </xf>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46" fillId="0" borderId="8" xfId="0" applyFont="1" applyBorder="1" applyAlignment="1">
      <alignment horizontal="center"/>
    </xf>
    <xf numFmtId="0" fontId="46" fillId="0" borderId="5" xfId="0" applyFont="1" applyBorder="1" applyAlignment="1">
      <alignment horizontal="center"/>
    </xf>
    <xf numFmtId="0" fontId="41" fillId="0" borderId="5" xfId="0" applyFont="1" applyBorder="1" applyAlignment="1">
      <alignment horizontal="center"/>
    </xf>
    <xf numFmtId="0" fontId="39" fillId="0" borderId="4" xfId="0" applyFont="1" applyBorder="1" applyAlignment="1">
      <alignment horizontal="left"/>
    </xf>
    <xf numFmtId="0" fontId="38" fillId="0" borderId="4" xfId="0" applyFont="1" applyBorder="1" applyAlignment="1">
      <alignment horizontal="left" vertical="center" indent="1"/>
    </xf>
    <xf numFmtId="0" fontId="38" fillId="0" borderId="4" xfId="0" applyFont="1" applyBorder="1" applyAlignment="1">
      <alignment vertical="center"/>
    </xf>
    <xf numFmtId="0" fontId="28" fillId="0" borderId="4" xfId="0" applyFont="1" applyBorder="1" applyAlignment="1">
      <alignment horizontal="left"/>
    </xf>
    <xf numFmtId="0" fontId="27" fillId="0" borderId="4" xfId="0" applyFont="1" applyBorder="1" applyAlignment="1">
      <alignment horizontal="left"/>
    </xf>
    <xf numFmtId="0" fontId="36" fillId="0" borderId="4" xfId="0" applyFont="1" applyBorder="1"/>
    <xf numFmtId="0" fontId="23" fillId="0" borderId="4" xfId="0" applyFont="1" applyBorder="1" applyAlignment="1">
      <alignment horizontal="left"/>
    </xf>
    <xf numFmtId="0" fontId="31" fillId="0" borderId="0" xfId="1" applyFill="1" applyAlignment="1">
      <alignment horizontal="center" vertical="center" wrapText="1"/>
    </xf>
    <xf numFmtId="0" fontId="27" fillId="8" borderId="4" xfId="0" applyFont="1" applyFill="1" applyBorder="1" applyAlignment="1">
      <alignment horizontal="center"/>
    </xf>
    <xf numFmtId="0" fontId="27" fillId="8" borderId="5" xfId="0" applyFont="1" applyFill="1" applyBorder="1" applyAlignment="1">
      <alignment horizontal="center"/>
    </xf>
    <xf numFmtId="0" fontId="26" fillId="8" borderId="4" xfId="0" applyFont="1" applyFill="1" applyBorder="1" applyAlignment="1">
      <alignment horizontal="center"/>
    </xf>
    <xf numFmtId="166" fontId="48" fillId="8" borderId="4" xfId="0" applyNumberFormat="1" applyFont="1" applyFill="1" applyBorder="1" applyAlignment="1">
      <alignment horizontal="center" vertical="top" wrapText="1"/>
    </xf>
    <xf numFmtId="166" fontId="48" fillId="8" borderId="5" xfId="0" applyNumberFormat="1" applyFont="1" applyFill="1" applyBorder="1" applyAlignment="1">
      <alignment horizontal="center" vertical="top" wrapText="1"/>
    </xf>
    <xf numFmtId="0" fontId="25" fillId="8" borderId="4" xfId="0" applyFont="1" applyFill="1" applyBorder="1" applyAlignment="1">
      <alignment horizontal="center"/>
    </xf>
    <xf numFmtId="0" fontId="25" fillId="8" borderId="5" xfId="0" applyFont="1" applyFill="1" applyBorder="1" applyAlignment="1">
      <alignment horizontal="center"/>
    </xf>
    <xf numFmtId="0" fontId="24" fillId="8" borderId="5" xfId="0" applyFont="1" applyFill="1" applyBorder="1" applyAlignment="1">
      <alignment horizontal="center"/>
    </xf>
    <xf numFmtId="168" fontId="27" fillId="8" borderId="4" xfId="0" applyNumberFormat="1" applyFont="1" applyFill="1" applyBorder="1" applyAlignment="1">
      <alignment horizontal="center"/>
    </xf>
    <xf numFmtId="169" fontId="23" fillId="8" borderId="10" xfId="0" applyNumberFormat="1" applyFont="1" applyFill="1" applyBorder="1" applyAlignment="1">
      <alignment horizontal="center" vertical="center" wrapText="1"/>
    </xf>
    <xf numFmtId="169" fontId="23" fillId="8" borderId="4" xfId="0" applyNumberFormat="1" applyFont="1" applyFill="1" applyBorder="1" applyAlignment="1">
      <alignment horizontal="center" vertical="center" wrapText="1"/>
    </xf>
    <xf numFmtId="169" fontId="23" fillId="8" borderId="5" xfId="0" applyNumberFormat="1" applyFont="1" applyFill="1" applyBorder="1" applyAlignment="1">
      <alignment horizontal="center" vertical="center" wrapText="1"/>
    </xf>
    <xf numFmtId="0" fontId="27" fillId="8" borderId="4" xfId="0" applyFont="1" applyFill="1" applyBorder="1" applyAlignment="1">
      <alignment horizontal="center" vertical="center"/>
    </xf>
    <xf numFmtId="0" fontId="27" fillId="8" borderId="5" xfId="0" applyFont="1" applyFill="1" applyBorder="1" applyAlignment="1">
      <alignment horizontal="center" vertical="center"/>
    </xf>
    <xf numFmtId="0" fontId="23" fillId="8" borderId="4" xfId="0" applyFont="1" applyFill="1" applyBorder="1" applyAlignment="1">
      <alignment horizontal="center"/>
    </xf>
    <xf numFmtId="0" fontId="23" fillId="8" borderId="5" xfId="0" applyFont="1" applyFill="1" applyBorder="1" applyAlignment="1">
      <alignment horizontal="center"/>
    </xf>
    <xf numFmtId="0" fontId="18" fillId="8" borderId="4" xfId="0" applyFont="1" applyFill="1" applyBorder="1" applyAlignment="1">
      <alignment horizontal="center"/>
    </xf>
    <xf numFmtId="0" fontId="18" fillId="8" borderId="5" xfId="0" applyFont="1" applyFill="1" applyBorder="1" applyAlignment="1">
      <alignment horizontal="center"/>
    </xf>
    <xf numFmtId="0" fontId="0" fillId="8" borderId="4" xfId="0" applyFill="1" applyBorder="1"/>
    <xf numFmtId="0" fontId="8" fillId="0" borderId="4" xfId="0" applyFont="1" applyBorder="1" applyAlignment="1">
      <alignment horizontal="center" vertical="center"/>
    </xf>
    <xf numFmtId="0" fontId="7" fillId="0" borderId="7" xfId="0" applyFont="1" applyBorder="1" applyAlignment="1">
      <alignment horizontal="center" vertical="center" wrapText="1"/>
    </xf>
    <xf numFmtId="0" fontId="6" fillId="0" borderId="7" xfId="0" applyFont="1" applyBorder="1" applyAlignment="1">
      <alignment horizontal="center"/>
    </xf>
    <xf numFmtId="0" fontId="5" fillId="0" borderId="7" xfId="0" applyFont="1" applyBorder="1" applyAlignment="1">
      <alignment horizontal="center" wrapText="1"/>
    </xf>
    <xf numFmtId="0" fontId="4" fillId="0" borderId="5"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center"/>
    </xf>
    <xf numFmtId="0" fontId="0" fillId="0" borderId="0" xfId="0" applyAlignment="1">
      <alignment vertical="center" wrapText="1"/>
    </xf>
    <xf numFmtId="49" fontId="0" fillId="0" borderId="0" xfId="0" applyNumberFormat="1"/>
    <xf numFmtId="0" fontId="0" fillId="0" borderId="0" xfId="0" applyAlignment="1">
      <alignment horizontal="right"/>
    </xf>
    <xf numFmtId="0" fontId="0" fillId="0" borderId="2" xfId="0" applyBorder="1" applyAlignment="1">
      <alignment horizontal="right"/>
    </xf>
    <xf numFmtId="0" fontId="0" fillId="0" borderId="3" xfId="0" applyBorder="1" applyAlignment="1">
      <alignment horizontal="center"/>
    </xf>
    <xf numFmtId="0" fontId="2" fillId="0" borderId="4" xfId="0" applyFont="1" applyBorder="1" applyAlignment="1">
      <alignment horizontal="center"/>
    </xf>
    <xf numFmtId="0" fontId="2" fillId="0" borderId="7" xfId="0" applyFont="1" applyBorder="1" applyAlignment="1">
      <alignment horizontal="center"/>
    </xf>
    <xf numFmtId="0" fontId="2" fillId="0" borderId="5" xfId="0" applyFont="1" applyBorder="1" applyAlignment="1">
      <alignment horizontal="center"/>
    </xf>
    <xf numFmtId="0" fontId="2" fillId="0" borderId="8" xfId="0" applyFont="1" applyBorder="1" applyAlignment="1">
      <alignment horizontal="center"/>
    </xf>
    <xf numFmtId="0" fontId="2" fillId="0" borderId="6" xfId="0" applyFont="1" applyBorder="1" applyAlignment="1">
      <alignment horizontal="center"/>
    </xf>
    <xf numFmtId="0" fontId="2" fillId="0" borderId="1" xfId="0" applyFont="1" applyBorder="1" applyAlignment="1">
      <alignment horizontal="center"/>
    </xf>
    <xf numFmtId="0" fontId="2" fillId="0" borderId="4" xfId="0" applyFont="1" applyBorder="1" applyAlignment="1">
      <alignment horizontal="center" wrapText="1"/>
    </xf>
    <xf numFmtId="0" fontId="2" fillId="0" borderId="7" xfId="0" applyFont="1" applyBorder="1" applyAlignment="1">
      <alignment horizontal="center" wrapText="1"/>
    </xf>
    <xf numFmtId="0" fontId="2" fillId="0" borderId="5" xfId="0" applyFont="1" applyBorder="1" applyAlignment="1">
      <alignment horizontal="center" wrapText="1"/>
    </xf>
    <xf numFmtId="0" fontId="2" fillId="0" borderId="8" xfId="0" applyFont="1" applyBorder="1" applyAlignment="1">
      <alignment horizontal="center" wrapText="1"/>
    </xf>
    <xf numFmtId="0" fontId="2" fillId="0" borderId="0" xfId="0" applyFont="1" applyAlignment="1">
      <alignment horizontal="center" wrapText="1"/>
    </xf>
    <xf numFmtId="0" fontId="2" fillId="0" borderId="2" xfId="0" applyFont="1" applyBorder="1" applyAlignment="1">
      <alignment horizontal="center" wrapText="1"/>
    </xf>
    <xf numFmtId="0" fontId="30" fillId="0" borderId="2" xfId="0" applyFont="1" applyBorder="1" applyAlignment="1">
      <alignment horizontal="center" vertical="center"/>
    </xf>
    <xf numFmtId="0" fontId="2" fillId="0" borderId="11" xfId="0" applyFont="1" applyBorder="1" applyAlignment="1">
      <alignment horizontal="center"/>
    </xf>
    <xf numFmtId="0" fontId="2" fillId="0" borderId="0" xfId="0" applyFont="1" applyAlignment="1">
      <alignment horizontal="center"/>
    </xf>
    <xf numFmtId="0" fontId="0" fillId="0" borderId="15" xfId="0" applyBorder="1" applyAlignment="1">
      <alignment horizontal="right"/>
    </xf>
    <xf numFmtId="0" fontId="0" fillId="0" borderId="13" xfId="0" applyBorder="1" applyAlignment="1">
      <alignment horizontal="right"/>
    </xf>
    <xf numFmtId="0" fontId="0" fillId="0" borderId="14" xfId="0" applyBorder="1" applyAlignment="1">
      <alignment horizontal="right"/>
    </xf>
    <xf numFmtId="0" fontId="0" fillId="0" borderId="12" xfId="0" applyBorder="1" applyAlignment="1">
      <alignment horizontal="right"/>
    </xf>
    <xf numFmtId="0" fontId="0" fillId="0" borderId="5" xfId="0" applyBorder="1" applyAlignment="1">
      <alignment horizontal="right"/>
    </xf>
    <xf numFmtId="0" fontId="32" fillId="0" borderId="11" xfId="0" applyFont="1" applyBorder="1" applyAlignment="1">
      <alignment horizontal="center"/>
    </xf>
    <xf numFmtId="0" fontId="0" fillId="0" borderId="11" xfId="0" applyBorder="1" applyAlignment="1">
      <alignment horizontal="right"/>
    </xf>
    <xf numFmtId="0" fontId="0" fillId="0" borderId="4" xfId="0" applyBorder="1" applyAlignment="1">
      <alignment horizontal="right"/>
    </xf>
    <xf numFmtId="0" fontId="32" fillId="0" borderId="3" xfId="0" applyFont="1" applyBorder="1"/>
    <xf numFmtId="0" fontId="30" fillId="0" borderId="2" xfId="0" applyFont="1" applyBorder="1" applyAlignment="1">
      <alignment horizontal="center" wrapText="1"/>
    </xf>
    <xf numFmtId="0" fontId="32" fillId="0" borderId="2" xfId="0" applyFont="1" applyBorder="1" applyAlignment="1">
      <alignment horizontal="center"/>
    </xf>
    <xf numFmtId="165" fontId="36" fillId="0" borderId="7" xfId="0" applyNumberFormat="1" applyFont="1" applyBorder="1" applyAlignment="1">
      <alignment horizontal="center" wrapText="1"/>
    </xf>
    <xf numFmtId="165" fontId="36" fillId="0" borderId="8" xfId="0" applyNumberFormat="1" applyFont="1" applyBorder="1" applyAlignment="1">
      <alignment horizontal="center" wrapText="1"/>
    </xf>
    <xf numFmtId="0" fontId="49" fillId="0" borderId="7" xfId="0" applyFont="1" applyBorder="1" applyAlignment="1">
      <alignment horizontal="center" wrapText="1"/>
    </xf>
    <xf numFmtId="0" fontId="29" fillId="0" borderId="1" xfId="0" applyFont="1" applyBorder="1" applyAlignment="1">
      <alignment horizontal="center" wrapText="1"/>
    </xf>
    <xf numFmtId="0" fontId="24" fillId="0" borderId="7" xfId="0" applyFont="1" applyBorder="1" applyAlignment="1">
      <alignment horizontal="center" wrapText="1"/>
    </xf>
    <xf numFmtId="0" fontId="40" fillId="0" borderId="7" xfId="0" applyFont="1" applyBorder="1" applyAlignment="1">
      <alignment horizontal="center" wrapText="1"/>
    </xf>
    <xf numFmtId="0" fontId="23" fillId="0" borderId="0" xfId="0" applyFont="1" applyAlignment="1">
      <alignment horizontal="center" wrapText="1"/>
    </xf>
    <xf numFmtId="0" fontId="23" fillId="0" borderId="7" xfId="0" applyFont="1" applyBorder="1" applyAlignment="1">
      <alignment horizontal="center" wrapText="1"/>
    </xf>
    <xf numFmtId="0" fontId="24" fillId="0" borderId="8" xfId="0" applyFont="1" applyBorder="1" applyAlignment="1">
      <alignment horizontal="center" wrapText="1"/>
    </xf>
    <xf numFmtId="0" fontId="19" fillId="0" borderId="7" xfId="0" applyFont="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6" fillId="0" borderId="7" xfId="0" applyFont="1" applyBorder="1" applyAlignment="1">
      <alignment horizontal="center" wrapText="1"/>
    </xf>
    <xf numFmtId="0" fontId="16" fillId="0" borderId="8" xfId="0" applyFont="1" applyBorder="1" applyAlignment="1">
      <alignment horizontal="center" wrapText="1"/>
    </xf>
    <xf numFmtId="0" fontId="59" fillId="0" borderId="7" xfId="0" applyFont="1" applyBorder="1"/>
    <xf numFmtId="0" fontId="47" fillId="0" borderId="0" xfId="0" applyFont="1" applyAlignment="1">
      <alignment horizontal="left" vertical="top" wrapText="1"/>
    </xf>
    <xf numFmtId="0" fontId="32" fillId="2" borderId="0" xfId="0" applyFont="1" applyFill="1" applyAlignment="1">
      <alignment horizontal="left"/>
    </xf>
    <xf numFmtId="2" fontId="2" fillId="0" borderId="4" xfId="0" applyNumberFormat="1" applyFont="1" applyBorder="1" applyAlignment="1">
      <alignment horizontal="center" vertical="center" wrapText="1"/>
    </xf>
    <xf numFmtId="0" fontId="5" fillId="0" borderId="8" xfId="0" applyFont="1" applyBorder="1" applyAlignment="1">
      <alignment horizont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7" fillId="0" borderId="4" xfId="0" applyFont="1" applyBorder="1" applyAlignment="1">
      <alignment horizontal="center"/>
    </xf>
    <xf numFmtId="0" fontId="46" fillId="3" borderId="4" xfId="0" applyFont="1" applyFill="1" applyBorder="1" applyAlignment="1">
      <alignment horizontal="center" vertical="center"/>
    </xf>
    <xf numFmtId="0" fontId="46" fillId="3" borderId="7" xfId="0" applyFont="1" applyFill="1" applyBorder="1" applyAlignment="1">
      <alignment horizontal="center" vertical="center"/>
    </xf>
    <xf numFmtId="0" fontId="63" fillId="5" borderId="7" xfId="0" applyFont="1" applyFill="1" applyBorder="1" applyAlignment="1">
      <alignment horizontal="center" vertical="center" wrapText="1"/>
    </xf>
    <xf numFmtId="0" fontId="63" fillId="5" borderId="4" xfId="0" applyFont="1" applyFill="1" applyBorder="1" applyAlignment="1">
      <alignment horizontal="center" vertical="center" wrapText="1"/>
    </xf>
    <xf numFmtId="0" fontId="63" fillId="7" borderId="4" xfId="0" applyFont="1" applyFill="1" applyBorder="1" applyAlignment="1">
      <alignment horizontal="center" vertical="center"/>
    </xf>
    <xf numFmtId="0" fontId="63" fillId="6" borderId="4" xfId="0" applyFont="1" applyFill="1" applyBorder="1" applyAlignment="1">
      <alignment horizontal="center" vertical="center" wrapText="1"/>
    </xf>
    <xf numFmtId="0" fontId="63" fillId="6" borderId="4" xfId="0" applyFont="1" applyFill="1" applyBorder="1" applyAlignment="1">
      <alignment horizontal="center" vertical="center"/>
    </xf>
    <xf numFmtId="0" fontId="46" fillId="2" borderId="4" xfId="0" applyFont="1" applyFill="1" applyBorder="1" applyAlignment="1">
      <alignment horizontal="center" vertical="center"/>
    </xf>
    <xf numFmtId="0" fontId="46" fillId="3" borderId="7" xfId="0" applyFont="1" applyFill="1" applyBorder="1" applyAlignment="1">
      <alignment horizontal="center" vertical="center" wrapText="1"/>
    </xf>
    <xf numFmtId="0" fontId="0" fillId="3" borderId="0" xfId="0" applyFont="1" applyFill="1" applyAlignment="1">
      <alignment horizontal="center" vertical="center"/>
    </xf>
  </cellXfs>
  <cellStyles count="3">
    <cellStyle name="Κανονικό" xfId="0" builtinId="0"/>
    <cellStyle name="Κανονικό 2" xfId="2" xr:uid="{F5C76E7A-7738-45DB-A365-36F128B883A2}"/>
    <cellStyle name="Υπερ-σύνδεση" xfId="1"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18B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rianna Kotzabasaki" id="{F2322984-A1E8-4F3D-84F7-FC87ADEB1B0F}" userId="S::mariannakotz@aua.gr::633b54d6-6fff-4629-bfb4-6a3b26222bd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M1" dT="2025-04-03T16:47:12.86" personId="{F2322984-A1E8-4F3D-84F7-FC87ADEB1B0F}" id="{7D8E6CDD-32B0-4951-9F63-376EE9CAA7D0}">
    <text>wt/wt %????</text>
  </threadedComment>
  <threadedComment ref="P1" dT="2025-04-03T16:47:45.56" personId="{F2322984-A1E8-4F3D-84F7-FC87ADEB1B0F}" id="{14158C60-F367-4266-8149-B48CF6461043}">
    <text>wt/wt %????</text>
  </threadedComment>
  <threadedComment ref="S1" dT="2025-04-03T16:47:12.86" personId="{F2322984-A1E8-4F3D-84F7-FC87ADEB1B0F}" id="{22D7D2AF-922B-4104-A477-D5C7E0A4051A}">
    <text>wt/wt %????</text>
  </threadedComment>
  <threadedComment ref="T1" dT="2025-03-25T15:55:15.83" personId="{F2322984-A1E8-4F3D-84F7-FC87ADEB1B0F}" id="{01834DA1-F0AB-4DAB-A7ED-401318F0810F}">
    <text>Wt/wt%?</text>
  </threadedComment>
  <threadedComment ref="AN1" dT="2025-04-03T20:38:16.95" personId="{F2322984-A1E8-4F3D-84F7-FC87ADEB1B0F}" id="{1F5274F4-FB3B-48A6-BC5E-FDA5B754BFD4}">
    <text>For films</text>
  </threadedComment>
  <threadedComment ref="AP1" dT="2025-04-09T16:18:19.40" personId="{F2322984-A1E8-4F3D-84F7-FC87ADEB1B0F}" id="{EDEC38C3-D032-469C-8DD4-CC7808EB5AFA}">
    <text>swelling</text>
  </threadedComment>
  <threadedComment ref="C4" dT="2025-03-26T13:44:15.71" personId="{F2322984-A1E8-4F3D-84F7-FC87ADEB1B0F}" id="{3A7C4EAD-CD8C-43A0-980E-DFAFF4ECF110}">
    <text>SOIL</text>
  </threadedComment>
  <threadedComment ref="C4" dT="2025-04-09T15:28:17.45" personId="{F2322984-A1E8-4F3D-84F7-FC87ADEB1B0F}" id="{5A45C407-1336-4BBB-8B39-69B31DE1BFFA}" parentId="{3A7C4EAD-CD8C-43A0-980E-DFAFF4ECF110}">
    <text xml:space="preserve">P(3HB-co-6%3HV) was produced by Cupriavidus malaysiensis </text>
  </threadedComment>
  <threadedComment ref="D4" dT="2025-04-09T15:53:20.66" personId="{F2322984-A1E8-4F3D-84F7-FC87ADEB1B0F}" id="{B73CEAC5-2CC7-4BDF-ABD0-5227281F529D}">
    <text xml:space="preserve">*Sample ratio = P(3HB-co-6%3HV): Natural polymer </text>
  </threadedComment>
  <threadedComment ref="C52" dT="2025-04-03T17:27:10.19" personId="{F2322984-A1E8-4F3D-84F7-FC87ADEB1B0F}" id="{32C35727-0D88-46A9-A9CF-B60D2C6F6599}">
    <text xml:space="preserve">+Y_DEG= DRY WEIGHT LOSS </text>
  </threadedComment>
  <threadedComment ref="C53" dT="2025-04-03T17:27:10.19" personId="{F2322984-A1E8-4F3D-84F7-FC87ADEB1B0F}" id="{6F5C34DD-848A-4B0A-B68A-798639B71913}">
    <text xml:space="preserve">+Y_DEG= DRY WEIGHT LOSS </text>
  </threadedComment>
  <threadedComment ref="C54" dT="2025-04-03T17:27:10.19" personId="{F2322984-A1E8-4F3D-84F7-FC87ADEB1B0F}" id="{23F77DF0-ADD4-4264-8C57-C10352209DE2}">
    <text xml:space="preserve">+Y_DEG= DRY WEIGHT LOSS </text>
  </threadedComment>
  <threadedComment ref="C55" dT="2025-04-03T17:27:10.19" personId="{F2322984-A1E8-4F3D-84F7-FC87ADEB1B0F}" id="{EDD2A5EC-3A6B-4312-857B-89343869BAB8}">
    <text xml:space="preserve">+Y_DEG= DRY WEIGHT LOSS </text>
  </threadedComment>
  <threadedComment ref="C56" dT="2025-04-03T17:27:10.19" personId="{F2322984-A1E8-4F3D-84F7-FC87ADEB1B0F}" id="{D369DDCD-0DCC-48AF-ABCB-B834EB437878}">
    <text xml:space="preserve">+Y_DEG= DRY WEIGHT LOSS </text>
  </threadedComment>
  <threadedComment ref="C57" dT="2025-04-03T17:27:10.19" personId="{F2322984-A1E8-4F3D-84F7-FC87ADEB1B0F}" id="{43490BEA-011A-415B-91D4-D54FAEF3AB20}">
    <text xml:space="preserve">+Y_DEG= DRY WEIGHT LOSS </text>
  </threadedComment>
  <threadedComment ref="C58" dT="2025-04-03T17:27:10.19" personId="{F2322984-A1E8-4F3D-84F7-FC87ADEB1B0F}" id="{9CD1EBC2-EA00-44D6-A98E-2AFB1C5B21EE}">
    <text xml:space="preserve">+Y_DEG= DRY WEIGHT LOSS </text>
  </threadedComment>
  <threadedComment ref="C59" dT="2025-04-03T17:27:10.19" personId="{F2322984-A1E8-4F3D-84F7-FC87ADEB1B0F}" id="{E78E24D7-C35E-46F9-A51D-F8376965333E}">
    <text xml:space="preserve">+Y_DEG= DRY WEIGHT LOSS </text>
  </threadedComment>
  <threadedComment ref="C60" dT="2025-04-16T15:49:49.65" personId="{F2322984-A1E8-4F3D-84F7-FC87ADEB1B0F}" id="{9D22AB73-A88B-4FFC-804F-D02187C0FD89}">
    <text>PHBVwith1mol%HV</text>
  </threadedComment>
  <threadedComment ref="C61" dT="2025-04-16T15:49:49.65" personId="{F2322984-A1E8-4F3D-84F7-FC87ADEB1B0F}" id="{10D6790E-51B0-4FAA-9410-3778025941B9}">
    <text>PHBVwith1mol%HV</text>
  </threadedComment>
  <threadedComment ref="C62" dT="2025-04-16T15:49:49.65" personId="{F2322984-A1E8-4F3D-84F7-FC87ADEB1B0F}" id="{5276510D-58BE-468B-BED5-D4802CD1F202}">
    <text>PHBVwith1mol%HV</text>
  </threadedComment>
  <threadedComment ref="C63" dT="2025-04-16T15:49:49.65" personId="{F2322984-A1E8-4F3D-84F7-FC87ADEB1B0F}" id="{22AC0374-A612-42A9-9D43-73946E3FF3D3}">
    <text>PHBVwith1mol%HV</text>
  </threadedComment>
  <threadedComment ref="C64" dT="2025-04-16T15:49:49.65" personId="{F2322984-A1E8-4F3D-84F7-FC87ADEB1B0F}" id="{519CB8EF-29A2-41D7-B67B-07B895FB1AE8}">
    <text>PHBVwith1mol%HV</text>
  </threadedComment>
  <threadedComment ref="C65" dT="2025-04-16T15:49:49.65" personId="{F2322984-A1E8-4F3D-84F7-FC87ADEB1B0F}" id="{6FEA898E-5D9B-481C-AE3B-9B62340EFB1D}">
    <text>PHBVwith1mol%HV</text>
  </threadedComment>
  <threadedComment ref="C66" dT="2025-04-16T15:49:49.65" personId="{F2322984-A1E8-4F3D-84F7-FC87ADEB1B0F}" id="{3FE2487E-4ADF-44D3-8030-73641DC213D4}">
    <text>PHBVwith1mol%HV</text>
  </threadedComment>
  <threadedComment ref="C67" dT="2025-04-16T15:49:49.65" personId="{F2322984-A1E8-4F3D-84F7-FC87ADEB1B0F}" id="{A083F23D-D120-4D34-8B7C-AB265AAA7AA2}">
    <text>PHBVwith1mol%HV</text>
  </threadedComment>
  <threadedComment ref="C68" dT="2025-04-16T15:50:01.15" personId="{F2322984-A1E8-4F3D-84F7-FC87ADEB1B0F}" id="{E69A32CC-9C35-4C32-8ECC-B0C622C88CA6}">
    <text>PHBVwith1mol%HV</text>
  </threadedComment>
  <threadedComment ref="C69" dT="2025-04-16T15:50:01.15" personId="{F2322984-A1E8-4F3D-84F7-FC87ADEB1B0F}" id="{5D50345E-24FC-4610-9F7F-4D29A5BBB9BE}">
    <text>PHBVwith1mol%HV</text>
  </threadedComment>
  <threadedComment ref="C70" dT="2025-04-16T15:50:01.15" personId="{F2322984-A1E8-4F3D-84F7-FC87ADEB1B0F}" id="{54ABE66C-9EF4-4215-93D9-91B68390EF68}">
    <text>PHBVwith1mol%HV</text>
  </threadedComment>
  <threadedComment ref="C71" dT="2025-04-16T15:50:01.15" personId="{F2322984-A1E8-4F3D-84F7-FC87ADEB1B0F}" id="{3427D479-894B-4F97-BF74-9B4CE999A62C}">
    <text>PHBVwith1mol%HV</text>
  </threadedComment>
  <threadedComment ref="C72" dT="2025-04-16T15:50:01.15" personId="{F2322984-A1E8-4F3D-84F7-FC87ADEB1B0F}" id="{08C768F7-DD91-4462-A94A-389A03A49B70}">
    <text>PHBVwith1mol%HV</text>
  </threadedComment>
  <threadedComment ref="C73" dT="2025-04-16T15:50:01.15" personId="{F2322984-A1E8-4F3D-84F7-FC87ADEB1B0F}" id="{F08388A0-C346-4FF7-AC67-9BE65B718EAD}">
    <text>PHBVwith1mol%HV</text>
  </threadedComment>
  <threadedComment ref="C74" dT="2025-04-16T15:50:01.15" personId="{F2322984-A1E8-4F3D-84F7-FC87ADEB1B0F}" id="{24D47814-A1C9-4ABC-B403-18B6DBAFBB82}">
    <text>PHBVwith1mol%HV</text>
  </threadedComment>
  <threadedComment ref="C75" dT="2025-04-16T15:50:01.15" personId="{F2322984-A1E8-4F3D-84F7-FC87ADEB1B0F}" id="{47A90F78-C4EC-4837-B2E9-ADE655853856}">
    <text>PHBVwith1mol%HV</text>
  </threadedComment>
  <threadedComment ref="R92" dT="2025-06-03T14:39:20.37" personId="{F2322984-A1E8-4F3D-84F7-FC87ADEB1B0F}" id="{D40904FE-B620-4922-96E3-B3D6EDDEC4B3}">
    <text>Or grafting agent</text>
  </threadedComment>
  <threadedComment ref="R92" dT="2025-06-07T08:16:12.71" personId="{F2322984-A1E8-4F3D-84F7-FC87ADEB1B0F}" id="{1CE4E0F7-8FBF-409E-A45D-5F92AFC687E1}" parentId="{D40904FE-B620-4922-96E3-B3D6EDDEC4B3}">
    <text>Or compatibilizer</text>
  </threadedComment>
  <threadedComment ref="C138" dT="2025-03-30T19:44:48.26" personId="{F2322984-A1E8-4F3D-84F7-FC87ADEB1B0F}" id="{0F0A5FB1-2CDB-408A-AD6A-9DC4AFA18929}">
    <text xml:space="preserve">ΜΑSS loss %
</text>
  </threadedComment>
  <threadedComment ref="C152" dT="2025-04-03T17:29:49.55" personId="{F2322984-A1E8-4F3D-84F7-FC87ADEB1B0F}" id="{43A75D15-4A45-44FE-ADCA-320AA232571A}">
    <text xml:space="preserve">Y_DEG= WEIGHT LOSS </text>
  </threadedComment>
  <threadedComment ref="C153" dT="2025-04-03T17:29:49.55" personId="{F2322984-A1E8-4F3D-84F7-FC87ADEB1B0F}" id="{D01CE671-EFC9-45E0-9A35-453D74603D9F}">
    <text xml:space="preserve">Y_DEG= WEIGHT LOSS </text>
  </threadedComment>
  <threadedComment ref="C154" dT="2025-04-03T17:29:49.55" personId="{F2322984-A1E8-4F3D-84F7-FC87ADEB1B0F}" id="{6FEF2CEE-F208-467C-B812-0DD6F13290E1}">
    <text xml:space="preserve">Y_DEG= WEIGHT LOSS </text>
  </threadedComment>
  <threadedComment ref="C155" dT="2025-04-03T17:29:49.55" personId="{F2322984-A1E8-4F3D-84F7-FC87ADEB1B0F}" id="{9A5295AC-2EAC-418E-9396-5B0D6925C615}">
    <text xml:space="preserve">Y_DEG= WEIGHT LOSS </text>
  </threadedComment>
  <threadedComment ref="C156" dT="2025-04-03T17:29:49.55" personId="{F2322984-A1E8-4F3D-84F7-FC87ADEB1B0F}" id="{6B9BD9DE-8182-480F-A10D-4C46E1586430}">
    <text xml:space="preserve">Y_DEG= WEIGHT LOSS </text>
  </threadedComment>
  <threadedComment ref="C157" dT="2025-04-03T17:29:49.55" personId="{F2322984-A1E8-4F3D-84F7-FC87ADEB1B0F}" id="{57797A70-BB47-4657-BFA4-9D01575B612D}">
    <text xml:space="preserve">Y_DEG= WEIGHT LOSS </text>
  </threadedComment>
  <threadedComment ref="C158" dT="2025-04-03T17:29:49.55" personId="{F2322984-A1E8-4F3D-84F7-FC87ADEB1B0F}" id="{2E06B251-05B8-4F22-A0E8-35A834FEF511}">
    <text xml:space="preserve">Y_DEG= WEIGHT LOSS </text>
  </threadedComment>
  <threadedComment ref="C173" dT="2025-04-03T19:25:09.78" personId="{F2322984-A1E8-4F3D-84F7-FC87ADEB1B0F}" id="{FE2D2E91-A6FD-4F7E-9488-355FFCFF22A1}">
    <text xml:space="preserve">Y_DEG= WEIGHT LOSS </text>
  </threadedComment>
  <threadedComment ref="C207" dT="2025-04-01T06:42:20.04" personId="{F2322984-A1E8-4F3D-84F7-FC87ADEB1B0F}" id="{DD4AF3B9-9262-44B4-8D4C-C591AAF1CFFF}">
    <text>19.1% mol hv</text>
  </threadedComment>
  <threadedComment ref="C208" dT="2025-04-01T06:42:24.99" personId="{F2322984-A1E8-4F3D-84F7-FC87ADEB1B0F}" id="{458F97D4-EC98-4EB8-AD7C-8E639D715518}">
    <text>19.1% mol hv</text>
  </threadedComment>
  <threadedComment ref="C210" dT="2025-04-01T06:42:20.04" personId="{F2322984-A1E8-4F3D-84F7-FC87ADEB1B0F}" id="{28D49C3D-7C41-48F2-A559-422D1D69FFA6}">
    <text>19.1% mol hv</text>
  </threadedComment>
  <threadedComment ref="C211" dT="2025-04-01T06:42:24.99" personId="{F2322984-A1E8-4F3D-84F7-FC87ADEB1B0F}" id="{7F1B3C5B-806A-4823-BB33-035696034270}">
    <text>19.1% mol hv</text>
  </threadedComment>
  <threadedComment ref="A219" dT="2025-04-01T08:21:34.75" personId="{F2322984-A1E8-4F3D-84F7-FC87ADEB1B0F}" id="{1BD60BF9-5C52-43EC-A910-446B10DF7174}">
    <text>disintegration</text>
  </threadedComment>
  <threadedComment ref="A220" dT="2025-04-01T08:21:34.75" personId="{F2322984-A1E8-4F3D-84F7-FC87ADEB1B0F}" id="{4199F52A-BF3A-4817-AB72-254DC96FA292}">
    <text>disintegration</text>
  </threadedComment>
  <threadedComment ref="K220" dT="2025-05-06T18:15:01.39" personId="{F2322984-A1E8-4F3D-84F7-FC87ADEB1B0F}" id="{FA23BEB2-93FD-44A7-B8CA-158EEF74A1A5}">
    <text xml:space="preserve">alpha-cellulose </text>
  </threadedComment>
  <threadedComment ref="A221" dT="2025-04-01T08:21:34.75" personId="{F2322984-A1E8-4F3D-84F7-FC87ADEB1B0F}" id="{A826C0F2-921A-4042-93A1-B88D57F8806A}">
    <text>disintegration</text>
  </threadedComment>
  <threadedComment ref="A222" dT="2025-04-01T08:21:34.75" personId="{F2322984-A1E8-4F3D-84F7-FC87ADEB1B0F}" id="{2C37DACD-28EA-49EC-9ED6-7D35E0572C54}">
    <text>disintegration</text>
  </threadedComment>
  <threadedComment ref="A223" dT="2025-04-01T08:21:34.75" personId="{F2322984-A1E8-4F3D-84F7-FC87ADEB1B0F}" id="{189313B6-C34E-4BBE-8DE9-B7A0F63F6419}">
    <text>disintegration</text>
  </threadedComment>
  <threadedComment ref="C224" dT="2025-04-03T19:25:19.44" personId="{F2322984-A1E8-4F3D-84F7-FC87ADEB1B0F}" id="{85710F72-8EE7-41B0-9B2A-BB4F99DF6E94}">
    <text xml:space="preserve">Y_DEG= WEIGHT LOSS </text>
  </threadedComment>
</ThreadedComments>
</file>

<file path=xl/threadedComments/threadedComment2.xml><?xml version="1.0" encoding="utf-8"?>
<ThreadedComments xmlns="http://schemas.microsoft.com/office/spreadsheetml/2018/threadedcomments" xmlns:x="http://schemas.openxmlformats.org/spreadsheetml/2006/main">
  <threadedComment ref="Z1" dT="2025-06-06T20:25:54.99" personId="{F2322984-A1E8-4F3D-84F7-FC87ADEB1B0F}" id="{BCA8AB53-DE37-4739-BEEF-6EC358A73DDC}">
    <text xml:space="preserve">Microbial_activity
</text>
  </threadedComment>
  <threadedComment ref="Z1" dT="2025-08-04T08:08:48.16" personId="{F2322984-A1E8-4F3D-84F7-FC87ADEB1B0F}" id="{64B453F0-94A7-41BC-8359-C4C2750DB8B5}" parentId="{BCA8AB53-DE37-4739-BEEF-6EC358A73DDC}">
    <text>If possible do not use</text>
  </threadedComment>
  <threadedComment ref="AA1" dT="2025-04-03T13:05:58.05" personId="{F2322984-A1E8-4F3D-84F7-FC87ADEB1B0F}" id="{EB6FF6A2-FBAD-4698-AEDA-CD829E86FCEF}">
    <text>*check info tab for details in picture attached</text>
  </threadedComment>
  <threadedComment ref="C4" dT="2025-03-26T13:44:15.71" personId="{F2322984-A1E8-4F3D-84F7-FC87ADEB1B0F}" id="{2BF55696-9D08-45CC-ABA6-339C2DB52393}">
    <text>SOIL</text>
  </threadedComment>
  <threadedComment ref="C4" dT="2025-04-09T15:28:17.45" personId="{F2322984-A1E8-4F3D-84F7-FC87ADEB1B0F}" id="{5BAD54A2-C085-4E16-8F03-AE580E4F4B0A}" parentId="{2BF55696-9D08-45CC-ABA6-339C2DB52393}">
    <text xml:space="preserve">P(3HB-co-6%3HV) was produced by Cupriavidus malaysiensis </text>
  </threadedComment>
  <threadedComment ref="E4" dT="2025-04-09T15:47:02.00" personId="{F2322984-A1E8-4F3D-84F7-FC87ADEB1B0F}" id="{527EB770-3303-422F-A611-A3DE014FDCCC}">
    <text xml:space="preserve">The degradation of the polymer blend films in both soil and lake environments relies on microbial activity, which typically occurs under aerobic conditions. Microorganisms such as bacteria and fungi secrete enzymes that break down the polymers into smaller fragments, which are then metabolized in the presence of oxygen. This process is a key aspect of biodegradation in natural environments. </text>
  </threadedComment>
  <threadedComment ref="C52" dT="2025-04-03T17:27:10.19" personId="{F2322984-A1E8-4F3D-84F7-FC87ADEB1B0F}" id="{C6D57307-7B44-42F0-9411-A4358B37A2BB}">
    <text xml:space="preserve">+Y_DEG= DRY WEIGHT LOSS </text>
  </threadedComment>
  <threadedComment ref="F52" dT="2025-04-17T10:29:25.38" personId="{F2322984-A1E8-4F3D-84F7-FC87ADEB1B0F}" id="{24AB02C5-D27D-4F6A-AC38-3B177E6103CE}">
    <text xml:space="preserve">Neat PHBV undergoes surface erosion, retaining mechanical properties and showing slight molecular weight loss.
</text>
  </threadedComment>
  <threadedComment ref="G52" dT="2025-04-17T10:47:25.70" personId="{F2322984-A1E8-4F3D-84F7-FC87ADEB1B0F}" id="{8C10AC47-8389-4E6A-B1DE-15132EDFE7B1}">
    <text>Air temperature</text>
  </threadedComment>
  <threadedComment ref="C53" dT="2025-04-16T15:49:49.65" personId="{F2322984-A1E8-4F3D-84F7-FC87ADEB1B0F}" id="{AD1190C1-33C8-4413-876F-24273BCB5AA9}">
    <text>PHBVwith1mol%HV</text>
  </threadedComment>
  <threadedComment ref="F53" dT="2025-04-17T10:30:23.61" personId="{F2322984-A1E8-4F3D-84F7-FC87ADEB1B0F}" id="{5F1E7419-DE32-49A8-8879-D2C47CF3F551}">
    <text xml:space="preserve">PHA/WF composites show crack formation along the wood-PHA interface, leading to mechanical failure.
</text>
  </threadedComment>
  <threadedComment ref="G53" dT="2025-04-17T10:47:25.70" personId="{F2322984-A1E8-4F3D-84F7-FC87ADEB1B0F}" id="{C7EE539A-CD93-47D8-BAB1-DE9257E3C163}">
    <text>Air temperature</text>
  </threadedComment>
  <threadedComment ref="C54" dT="2025-04-16T15:50:01.15" personId="{F2322984-A1E8-4F3D-84F7-FC87ADEB1B0F}" id="{6C5959E3-9DBC-4E44-BE49-6BE19DE88848}">
    <text>PHBVwith1mol%HV</text>
  </threadedComment>
  <threadedComment ref="G54" dT="2025-04-17T10:47:25.70" personId="{F2322984-A1E8-4F3D-84F7-FC87ADEB1B0F}" id="{0AFD9E8B-5B06-4A8D-A1B9-399A00CDDB16}">
    <text>Air temperature</text>
  </threadedComment>
  <threadedComment ref="AC56" dT="2025-04-17T20:41:46.82" personId="{F2322984-A1E8-4F3D-84F7-FC87ADEB1B0F}" id="{DDC72998-6F87-4E2D-A914-E00E9841735F}">
    <text xml:space="preserve">The composting biodegradation tests were performed using a simulated municipal solid waste aerobic composting method. The text references a previous study (Labrecque et al., ANTEC 1995) for the composting protocol, but does not specify an ASTM or ISO standard for the biodegradation test itself </text>
  </threadedComment>
  <threadedComment ref="C68" dT="2025-03-30T19:44:48.26" personId="{F2322984-A1E8-4F3D-84F7-FC87ADEB1B0F}" id="{2905209F-4340-4BBB-AB87-840ED2BBCC79}">
    <text xml:space="preserve">ΜΑSS loss %
</text>
  </threadedComment>
  <threadedComment ref="C77" dT="2025-04-03T17:29:49.55" personId="{F2322984-A1E8-4F3D-84F7-FC87ADEB1B0F}" id="{3C023D22-C526-4D82-A872-C65590BD7394}">
    <text xml:space="preserve">Y_DEG= WEIGHT LOSS </text>
  </threadedComment>
  <threadedComment ref="U77" dT="2025-05-02T22:37:09.02" personId="{F2322984-A1E8-4F3D-84F7-FC87ADEB1B0F}" id="{E038D946-7662-42E9-884E-F3A2464623BF}">
    <text>TOC of the materials</text>
  </threadedComment>
  <threadedComment ref="C80" dT="2025-04-03T19:25:09.78" personId="{F2322984-A1E8-4F3D-84F7-FC87ADEB1B0F}" id="{2463F2DD-3C9C-4701-8E05-618FAB665C93}">
    <text xml:space="preserve">Y_DEG= WEIGHT LOSS </text>
  </threadedComment>
  <threadedComment ref="C114" dT="2025-04-01T06:42:20.04" personId="{F2322984-A1E8-4F3D-84F7-FC87ADEB1B0F}" id="{7B45118B-74F8-4621-8E17-88FCC6ADBB00}">
    <text>19.1% mol hv</text>
  </threadedComment>
  <threadedComment ref="C115" dT="2025-04-01T06:42:24.99" personId="{F2322984-A1E8-4F3D-84F7-FC87ADEB1B0F}" id="{1D376035-AA1A-4D8B-91B6-A55F0F13DAB5}">
    <text>19.1% mol hv</text>
  </threadedComment>
  <threadedComment ref="C117" dT="2025-04-01T06:42:20.04" personId="{F2322984-A1E8-4F3D-84F7-FC87ADEB1B0F}" id="{F0E650AC-E90A-48CA-A7BE-9E6694AFCEAF}">
    <text>19.1% mol hv</text>
  </threadedComment>
  <threadedComment ref="C118" dT="2025-04-01T06:42:24.99" personId="{F2322984-A1E8-4F3D-84F7-FC87ADEB1B0F}" id="{4B0B8F4E-B1BB-4443-9C65-18CCE324E98D}">
    <text>19.1% mol hv</text>
  </threadedComment>
  <threadedComment ref="A126" dT="2025-04-01T08:21:34.75" personId="{F2322984-A1E8-4F3D-84F7-FC87ADEB1B0F}" id="{86BDBFFB-6344-461C-96E2-90E88D425CE5}">
    <text>disintegration</text>
  </threadedComment>
  <threadedComment ref="A127" dT="2025-04-01T08:21:34.75" personId="{F2322984-A1E8-4F3D-84F7-FC87ADEB1B0F}" id="{E8E94B29-0DC9-4603-AE80-7FE8D75FE534}">
    <text>disintegration</text>
  </threadedComment>
  <threadedComment ref="A128" dT="2025-04-01T08:21:34.75" personId="{F2322984-A1E8-4F3D-84F7-FC87ADEB1B0F}" id="{B1311302-6193-4CFD-B6B2-E8D12143FE8B}">
    <text>disintegration</text>
  </threadedComment>
  <threadedComment ref="A129" dT="2025-04-01T08:21:34.75" personId="{F2322984-A1E8-4F3D-84F7-FC87ADEB1B0F}" id="{9B5F9A03-ED30-43AD-A11D-F35E56FE25A8}">
    <text>disintegration</text>
  </threadedComment>
  <threadedComment ref="A130" dT="2025-04-01T08:21:34.75" personId="{F2322984-A1E8-4F3D-84F7-FC87ADEB1B0F}" id="{85F2E624-D6D9-4E2B-80AE-025FEBB177B8}">
    <text>disintegration</text>
  </threadedComment>
  <threadedComment ref="C131" dT="2025-04-03T19:25:19.44" personId="{F2322984-A1E8-4F3D-84F7-FC87ADEB1B0F}" id="{6B6EA705-00B6-4F3C-B2B2-06D6C3309269}">
    <text xml:space="preserve">Y_DEG= WEIGHT LOSS </text>
  </threadedComment>
</ThreadedComments>
</file>

<file path=xl/threadedComments/threadedComment3.xml><?xml version="1.0" encoding="utf-8"?>
<ThreadedComments xmlns="http://schemas.microsoft.com/office/spreadsheetml/2018/threadedcomments" xmlns:x="http://schemas.openxmlformats.org/spreadsheetml/2006/main">
  <threadedComment ref="D52" dT="2025-03-27T14:17:38.15" personId="{F2322984-A1E8-4F3D-84F7-FC87ADEB1B0F}" id="{09C848F9-5EA2-4214-B874-F96915AE2712}">
    <text>dry weight loss !!</text>
  </threadedComment>
  <threadedComment ref="D56" dT="2025-03-27T20:30:46.57" personId="{F2322984-A1E8-4F3D-84F7-FC87ADEB1B0F}" id="{8B4D9347-2368-46D1-8AD5-FCEFEBC9CBF6}">
    <text>RESIDUAL WEIGHT !!</text>
  </threadedComment>
  <threadedComment ref="C68" dT="2025-03-30T19:44:48.26" personId="{F2322984-A1E8-4F3D-84F7-FC87ADEB1B0F}" id="{8A4B6B65-0D88-4FF1-BC64-6EE44961DD1F}">
    <text xml:space="preserve">Mass loss %
</text>
  </threadedComment>
  <threadedComment ref="C114" dT="2025-04-01T06:42:20.04" personId="{F2322984-A1E8-4F3D-84F7-FC87ADEB1B0F}" id="{86D552F0-0F1F-466B-9D0D-92F78984262F}">
    <text>19.1% mol hv</text>
  </threadedComment>
  <threadedComment ref="C115" dT="2025-04-01T06:42:24.99" personId="{F2322984-A1E8-4F3D-84F7-FC87ADEB1B0F}" id="{CB4C4DEE-084D-4089-97B5-341E4FA3B014}">
    <text>19.1% mol hv</text>
  </threadedComment>
  <threadedComment ref="C117" dT="2025-04-01T06:42:20.04" personId="{F2322984-A1E8-4F3D-84F7-FC87ADEB1B0F}" id="{E3FEB9AC-0FF7-4F31-AD92-7CF07A6DBD9E}">
    <text>19.1% mol hv</text>
  </threadedComment>
  <threadedComment ref="C118" dT="2025-04-01T06:42:24.99" personId="{F2322984-A1E8-4F3D-84F7-FC87ADEB1B0F}" id="{93E8183A-7A27-42D6-880A-6F17F46C805B}">
    <text>19.1% mol hv</text>
  </threadedComment>
  <threadedComment ref="A126" dT="2025-04-01T08:21:34.75" personId="{F2322984-A1E8-4F3D-84F7-FC87ADEB1B0F}" id="{446F8FCA-6139-4391-8BE9-24A0EDF8942E}">
    <text>disintegration</text>
  </threadedComment>
  <threadedComment ref="A127" dT="2025-04-01T08:21:34.75" personId="{F2322984-A1E8-4F3D-84F7-FC87ADEB1B0F}" id="{700191A6-46CA-489B-B7BB-C0303BBCDEC5}">
    <text>disintegration</text>
  </threadedComment>
  <threadedComment ref="A128" dT="2025-04-01T08:21:34.75" personId="{F2322984-A1E8-4F3D-84F7-FC87ADEB1B0F}" id="{E764038D-8A1F-4610-9DE1-42401E16C174}">
    <text>disintegration</text>
  </threadedComment>
  <threadedComment ref="A129" dT="2025-04-01T08:21:34.75" personId="{F2322984-A1E8-4F3D-84F7-FC87ADEB1B0F}" id="{03BA9820-5009-42DF-BB6A-FC248CA2C13C}">
    <text>disintegration</text>
  </threadedComment>
  <threadedComment ref="A130" dT="2025-04-01T08:21:34.75" personId="{F2322984-A1E8-4F3D-84F7-FC87ADEB1B0F}" id="{FE7C16A3-AF90-4AE3-AF26-43FC468D5DDB}">
    <text>disintegration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C68" dT="2025-03-30T19:44:48.26" personId="{F2322984-A1E8-4F3D-84F7-FC87ADEB1B0F}" id="{3AC67E78-D511-4B9E-B059-3FFB4E91A4FF}">
    <text xml:space="preserve">Mass loss %
</text>
  </threadedComment>
  <threadedComment ref="C114" dT="2025-04-01T06:42:20.04" personId="{F2322984-A1E8-4F3D-84F7-FC87ADEB1B0F}" id="{69C6AA8D-1F17-4EC2-91F9-BAC2AFBB955B}">
    <text>19.1% mol hv</text>
  </threadedComment>
  <threadedComment ref="C115" dT="2025-04-01T06:42:24.99" personId="{F2322984-A1E8-4F3D-84F7-FC87ADEB1B0F}" id="{F967D919-FDAF-45A4-B431-2BACFEDCB957}">
    <text>19.1% mol hv</text>
  </threadedComment>
  <threadedComment ref="C117" dT="2025-04-01T06:42:20.04" personId="{F2322984-A1E8-4F3D-84F7-FC87ADEB1B0F}" id="{F3D35CEC-8CD0-441C-9B05-79F04C41ABC1}">
    <text>19.1% mol hv</text>
  </threadedComment>
  <threadedComment ref="C118" dT="2025-04-01T06:42:24.99" personId="{F2322984-A1E8-4F3D-84F7-FC87ADEB1B0F}" id="{4F5EB1F9-B62C-4FDC-A045-7281BA46FAC8}">
    <text>19.1% mol hv</text>
  </threadedComment>
  <threadedComment ref="A126" dT="2025-04-01T08:21:34.75" personId="{F2322984-A1E8-4F3D-84F7-FC87ADEB1B0F}" id="{69EB483E-6D62-495B-93D8-7E03EFE37215}">
    <text>disintegration</text>
  </threadedComment>
  <threadedComment ref="A127" dT="2025-04-01T08:21:34.75" personId="{F2322984-A1E8-4F3D-84F7-FC87ADEB1B0F}" id="{14ACB7AD-63B6-4E4E-9491-5065A668DD1D}">
    <text>disintegration</text>
  </threadedComment>
  <threadedComment ref="A128" dT="2025-04-01T08:21:34.75" personId="{F2322984-A1E8-4F3D-84F7-FC87ADEB1B0F}" id="{7E1FDD20-EBF7-4992-B2B5-8559088EB503}">
    <text>disintegration</text>
  </threadedComment>
  <threadedComment ref="A129" dT="2025-04-01T08:21:34.75" personId="{F2322984-A1E8-4F3D-84F7-FC87ADEB1B0F}" id="{D598DC17-0436-4F85-98D6-28BEFF747A74}">
    <text>disintegration</text>
  </threadedComment>
  <threadedComment ref="A130" dT="2025-04-01T08:21:34.75" personId="{F2322984-A1E8-4F3D-84F7-FC87ADEB1B0F}" id="{3A82C9AD-D98D-49E0-B307-237F199818DC}">
    <text>disintegration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hyperlink" Target="https://doi.org/10.3389/fmats.2019.00275" TargetMode="External"/><Relationship Id="rId2" Type="http://schemas.openxmlformats.org/officeDocument/2006/relationships/hyperlink" Target="http://dx.doi.org/10.1590/1516-1439.235613" TargetMode="External"/><Relationship Id="rId1" Type="http://schemas.openxmlformats.org/officeDocument/2006/relationships/hyperlink" Target="https://www.mdpi.com/2073-4360/14/4/838" TargetMode="Externa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0096A-6538-43A8-B49F-194F4C20D777}">
  <dimension ref="A1:AY475"/>
  <sheetViews>
    <sheetView zoomScale="120" zoomScaleNormal="120" workbookViewId="0">
      <pane ySplit="1" topLeftCell="A2" activePane="bottomLeft" state="frozen"/>
      <selection pane="bottomLeft" activeCell="I227" sqref="A227:XFD227"/>
    </sheetView>
  </sheetViews>
  <sheetFormatPr baseColWidth="10" defaultColWidth="14.5" defaultRowHeight="15" x14ac:dyDescent="0.2"/>
  <cols>
    <col min="1" max="1" width="15.1640625" style="27" customWidth="1"/>
    <col min="2" max="2" width="15.33203125" style="42" customWidth="1"/>
    <col min="3" max="3" width="52.5" style="34" customWidth="1"/>
    <col min="4" max="4" width="15.6640625" style="41" customWidth="1"/>
    <col min="5" max="9" width="18.5" style="34" customWidth="1"/>
    <col min="10" max="10" width="14.5" style="34" customWidth="1"/>
    <col min="11" max="11" width="28.5" style="366" customWidth="1"/>
    <col min="12" max="12" width="29.1640625" style="234" customWidth="1"/>
    <col min="13" max="13" width="12.83203125" style="41" customWidth="1"/>
    <col min="14" max="14" width="40.5" style="34" customWidth="1"/>
    <col min="15" max="15" width="26.83203125" style="27" customWidth="1"/>
    <col min="16" max="16" width="11.1640625" style="34" customWidth="1"/>
    <col min="17" max="17" width="16" style="52" customWidth="1"/>
    <col min="18" max="18" width="16" style="41" customWidth="1"/>
    <col min="19" max="19" width="11.33203125" style="41" customWidth="1"/>
    <col min="20" max="22" width="19" style="34" customWidth="1"/>
    <col min="23" max="23" width="7.83203125" style="52" customWidth="1"/>
    <col min="24" max="24" width="34.6640625" style="52" customWidth="1"/>
    <col min="25" max="25" width="16.5" style="27" customWidth="1"/>
    <col min="26" max="26" width="32.83203125" style="27" customWidth="1"/>
    <col min="27" max="27" width="11" style="52" customWidth="1"/>
    <col min="28" max="28" width="18.5" style="52" customWidth="1"/>
    <col min="29" max="29" width="9.33203125" style="27" customWidth="1"/>
    <col min="30" max="30" width="27" style="27" customWidth="1"/>
    <col min="31" max="31" width="30.6640625" style="27" customWidth="1"/>
    <col min="32" max="32" width="27.83203125" style="27" customWidth="1"/>
    <col min="33" max="33" width="9.1640625" style="304" customWidth="1"/>
    <col min="34" max="34" width="7.5" style="27" customWidth="1"/>
    <col min="35" max="35" width="16" style="27" customWidth="1"/>
    <col min="36" max="36" width="25.5" style="34" customWidth="1"/>
    <col min="37" max="37" width="14.5" style="34" customWidth="1"/>
    <col min="38" max="38" width="14.6640625" style="34" customWidth="1"/>
    <col min="39" max="39" width="12.1640625" style="34" customWidth="1"/>
    <col min="40" max="40" width="17.6640625" style="41" customWidth="1"/>
    <col min="41" max="41" width="14.6640625" style="34" customWidth="1"/>
    <col min="42" max="42" width="28.83203125" style="27" customWidth="1"/>
    <col min="43" max="43" width="24.6640625" style="34" customWidth="1"/>
    <col min="44" max="44" width="28.83203125" style="34" customWidth="1"/>
    <col min="45" max="45" width="22" style="34" customWidth="1"/>
    <col min="46" max="46" width="28.83203125" style="27" customWidth="1"/>
    <col min="47" max="47" width="31.83203125" style="34" customWidth="1"/>
    <col min="48" max="53" width="10.6640625" customWidth="1"/>
  </cols>
  <sheetData>
    <row r="1" spans="1:51" s="88" customFormat="1" ht="48" x14ac:dyDescent="0.2">
      <c r="A1" s="83" t="s">
        <v>113</v>
      </c>
      <c r="B1" s="28" t="s">
        <v>97</v>
      </c>
      <c r="C1" s="28" t="s">
        <v>398</v>
      </c>
      <c r="D1" s="28" t="s">
        <v>305</v>
      </c>
      <c r="E1" s="28" t="s">
        <v>98</v>
      </c>
      <c r="F1" s="28" t="s">
        <v>99</v>
      </c>
      <c r="G1" s="28" t="s">
        <v>471</v>
      </c>
      <c r="H1" s="28" t="s">
        <v>473</v>
      </c>
      <c r="I1" s="28" t="s">
        <v>472</v>
      </c>
      <c r="J1" s="28" t="s">
        <v>442</v>
      </c>
      <c r="K1" s="83" t="s">
        <v>100</v>
      </c>
      <c r="L1" s="83" t="s">
        <v>386</v>
      </c>
      <c r="M1" s="28" t="s">
        <v>282</v>
      </c>
      <c r="N1" s="28" t="s">
        <v>101</v>
      </c>
      <c r="O1" s="83" t="s">
        <v>387</v>
      </c>
      <c r="P1" s="28" t="s">
        <v>283</v>
      </c>
      <c r="Q1" s="83" t="s">
        <v>135</v>
      </c>
      <c r="R1" s="28" t="s">
        <v>388</v>
      </c>
      <c r="S1" s="28" t="s">
        <v>284</v>
      </c>
      <c r="T1" s="28" t="s">
        <v>399</v>
      </c>
      <c r="U1" s="28" t="s">
        <v>400</v>
      </c>
      <c r="V1" s="28" t="s">
        <v>401</v>
      </c>
      <c r="W1" s="83" t="s">
        <v>210</v>
      </c>
      <c r="X1" s="28" t="s">
        <v>402</v>
      </c>
      <c r="Y1" s="83" t="s">
        <v>403</v>
      </c>
      <c r="Z1" s="83" t="s">
        <v>404</v>
      </c>
      <c r="AA1" s="83" t="s">
        <v>209</v>
      </c>
      <c r="AB1" s="83" t="s">
        <v>405</v>
      </c>
      <c r="AC1" s="83" t="s">
        <v>208</v>
      </c>
      <c r="AD1" s="83" t="s">
        <v>406</v>
      </c>
      <c r="AE1" s="83" t="s">
        <v>407</v>
      </c>
      <c r="AF1" s="83" t="s">
        <v>408</v>
      </c>
      <c r="AG1" s="28" t="s">
        <v>102</v>
      </c>
      <c r="AH1" s="87" t="s">
        <v>103</v>
      </c>
      <c r="AI1" s="87" t="s">
        <v>409</v>
      </c>
      <c r="AJ1" s="191" t="s">
        <v>410</v>
      </c>
      <c r="AK1" s="191" t="s">
        <v>104</v>
      </c>
      <c r="AL1" s="191" t="s">
        <v>105</v>
      </c>
      <c r="AM1" s="191" t="s">
        <v>106</v>
      </c>
      <c r="AN1" s="191" t="s">
        <v>123</v>
      </c>
      <c r="AO1" s="191" t="s">
        <v>107</v>
      </c>
      <c r="AP1" s="87" t="s">
        <v>411</v>
      </c>
      <c r="AQ1" s="83" t="s">
        <v>450</v>
      </c>
      <c r="AR1" s="191" t="s">
        <v>412</v>
      </c>
      <c r="AS1" s="83" t="s">
        <v>413</v>
      </c>
      <c r="AT1" s="87" t="s">
        <v>414</v>
      </c>
      <c r="AU1" s="191" t="s">
        <v>415</v>
      </c>
    </row>
    <row r="2" spans="1:51" ht="32" x14ac:dyDescent="0.2">
      <c r="A2" s="21">
        <v>4</v>
      </c>
      <c r="B2" s="29">
        <v>5</v>
      </c>
      <c r="C2" s="29" t="s">
        <v>157</v>
      </c>
      <c r="D2" s="63" t="s">
        <v>155</v>
      </c>
      <c r="E2" s="45" t="s">
        <v>133</v>
      </c>
      <c r="F2" s="45" t="s">
        <v>134</v>
      </c>
      <c r="G2" s="45">
        <v>95</v>
      </c>
      <c r="H2" s="45">
        <v>5</v>
      </c>
      <c r="I2" s="45">
        <f>(T2+M2+P2+S2)</f>
        <v>100</v>
      </c>
      <c r="J2" s="57" t="s">
        <v>111</v>
      </c>
      <c r="K2" s="128" t="s">
        <v>380</v>
      </c>
      <c r="L2" s="230" t="s">
        <v>378</v>
      </c>
      <c r="M2" s="45">
        <v>10</v>
      </c>
      <c r="N2" s="209" t="s">
        <v>142</v>
      </c>
      <c r="O2" s="128" t="s">
        <v>379</v>
      </c>
      <c r="P2" s="45">
        <v>3.5</v>
      </c>
      <c r="Q2" s="9" t="s">
        <v>394</v>
      </c>
      <c r="R2" s="362" t="s">
        <v>379</v>
      </c>
      <c r="S2" s="45">
        <v>20</v>
      </c>
      <c r="T2" s="53">
        <v>66.5</v>
      </c>
      <c r="U2" s="121" t="s">
        <v>458</v>
      </c>
      <c r="V2" s="121" t="s">
        <v>458</v>
      </c>
      <c r="W2" s="59" t="s">
        <v>458</v>
      </c>
      <c r="X2" s="73" t="s">
        <v>458</v>
      </c>
      <c r="Y2" s="73" t="s">
        <v>458</v>
      </c>
      <c r="Z2" s="73" t="s">
        <v>458</v>
      </c>
      <c r="AA2" s="59" t="s">
        <v>458</v>
      </c>
      <c r="AB2" s="73" t="s">
        <v>458</v>
      </c>
      <c r="AC2" s="59" t="s">
        <v>458</v>
      </c>
      <c r="AD2" s="73" t="s">
        <v>458</v>
      </c>
      <c r="AE2" s="73" t="s">
        <v>458</v>
      </c>
      <c r="AF2" s="73" t="s">
        <v>458</v>
      </c>
      <c r="AG2" s="286" t="s">
        <v>458</v>
      </c>
      <c r="AH2" s="59" t="s">
        <v>458</v>
      </c>
      <c r="AI2" s="81" t="s">
        <v>458</v>
      </c>
      <c r="AJ2" s="57" t="s">
        <v>143</v>
      </c>
      <c r="AK2" s="197" t="s">
        <v>458</v>
      </c>
      <c r="AL2" s="197" t="s">
        <v>458</v>
      </c>
      <c r="AM2" s="197" t="s">
        <v>458</v>
      </c>
      <c r="AN2" s="139" t="s">
        <v>290</v>
      </c>
      <c r="AO2" s="57" t="s">
        <v>110</v>
      </c>
      <c r="AP2" s="73" t="s">
        <v>458</v>
      </c>
      <c r="AQ2" s="197" t="s">
        <v>458</v>
      </c>
      <c r="AR2" s="197" t="s">
        <v>458</v>
      </c>
      <c r="AS2" s="197" t="s">
        <v>458</v>
      </c>
      <c r="AT2" s="73" t="s">
        <v>458</v>
      </c>
      <c r="AU2" s="197" t="s">
        <v>458</v>
      </c>
    </row>
    <row r="3" spans="1:51" s="18" customFormat="1" ht="16" x14ac:dyDescent="0.2">
      <c r="A3" s="23">
        <v>4</v>
      </c>
      <c r="B3" s="30">
        <v>6</v>
      </c>
      <c r="C3" s="30" t="s">
        <v>158</v>
      </c>
      <c r="D3" s="64" t="s">
        <v>156</v>
      </c>
      <c r="E3" s="46" t="s">
        <v>133</v>
      </c>
      <c r="F3" s="46" t="s">
        <v>134</v>
      </c>
      <c r="G3" s="46">
        <v>95</v>
      </c>
      <c r="H3" s="46">
        <v>5</v>
      </c>
      <c r="I3" s="45">
        <f t="shared" ref="I3:I66" si="0">(T3+M3+P3+S3)</f>
        <v>100</v>
      </c>
      <c r="J3" s="58" t="s">
        <v>111</v>
      </c>
      <c r="K3" s="159" t="s">
        <v>380</v>
      </c>
      <c r="L3" s="231" t="s">
        <v>378</v>
      </c>
      <c r="M3" s="46">
        <v>10</v>
      </c>
      <c r="N3" s="227" t="s">
        <v>142</v>
      </c>
      <c r="O3" s="159" t="s">
        <v>379</v>
      </c>
      <c r="P3" s="46">
        <v>4.5</v>
      </c>
      <c r="Q3" s="215" t="s">
        <v>458</v>
      </c>
      <c r="R3" s="363" t="s">
        <v>458</v>
      </c>
      <c r="S3" s="46">
        <v>0</v>
      </c>
      <c r="T3" s="46">
        <v>85.5</v>
      </c>
      <c r="U3" s="125" t="s">
        <v>458</v>
      </c>
      <c r="V3" s="125" t="s">
        <v>458</v>
      </c>
      <c r="W3" s="60" t="s">
        <v>458</v>
      </c>
      <c r="X3" s="74" t="s">
        <v>458</v>
      </c>
      <c r="Y3" s="74" t="s">
        <v>458</v>
      </c>
      <c r="Z3" s="74" t="s">
        <v>458</v>
      </c>
      <c r="AA3" s="60" t="s">
        <v>458</v>
      </c>
      <c r="AB3" s="74" t="s">
        <v>458</v>
      </c>
      <c r="AC3" s="60" t="s">
        <v>458</v>
      </c>
      <c r="AD3" s="74" t="s">
        <v>458</v>
      </c>
      <c r="AE3" s="74" t="s">
        <v>458</v>
      </c>
      <c r="AF3" s="74" t="s">
        <v>458</v>
      </c>
      <c r="AG3" s="287" t="s">
        <v>458</v>
      </c>
      <c r="AH3" s="60" t="s">
        <v>458</v>
      </c>
      <c r="AI3" s="89" t="s">
        <v>458</v>
      </c>
      <c r="AJ3" s="58" t="s">
        <v>143</v>
      </c>
      <c r="AK3" s="198" t="s">
        <v>458</v>
      </c>
      <c r="AL3" s="198" t="s">
        <v>458</v>
      </c>
      <c r="AM3" s="198" t="s">
        <v>458</v>
      </c>
      <c r="AN3" s="141" t="s">
        <v>291</v>
      </c>
      <c r="AO3" s="58" t="s">
        <v>110</v>
      </c>
      <c r="AP3" s="74" t="s">
        <v>458</v>
      </c>
      <c r="AQ3" s="198" t="s">
        <v>458</v>
      </c>
      <c r="AR3" s="198" t="s">
        <v>458</v>
      </c>
      <c r="AS3" s="198" t="s">
        <v>458</v>
      </c>
      <c r="AT3" s="74" t="s">
        <v>458</v>
      </c>
      <c r="AU3" s="198" t="s">
        <v>458</v>
      </c>
    </row>
    <row r="4" spans="1:51" ht="17" x14ac:dyDescent="0.2">
      <c r="A4" s="21">
        <v>5</v>
      </c>
      <c r="B4" s="29">
        <v>1</v>
      </c>
      <c r="C4" s="29" t="s">
        <v>161</v>
      </c>
      <c r="D4" s="41" t="s">
        <v>33</v>
      </c>
      <c r="E4" s="45" t="s">
        <v>133</v>
      </c>
      <c r="F4" s="45" t="s">
        <v>134</v>
      </c>
      <c r="G4" s="45">
        <v>94</v>
      </c>
      <c r="H4" s="45">
        <v>6</v>
      </c>
      <c r="I4" s="45">
        <f t="shared" si="0"/>
        <v>100</v>
      </c>
      <c r="J4" s="63" t="s">
        <v>108</v>
      </c>
      <c r="K4" s="80" t="s">
        <v>458</v>
      </c>
      <c r="L4" s="230" t="s">
        <v>458</v>
      </c>
      <c r="M4" s="53">
        <v>0</v>
      </c>
      <c r="N4" s="53" t="s">
        <v>458</v>
      </c>
      <c r="O4" s="59" t="s">
        <v>458</v>
      </c>
      <c r="P4" s="53">
        <v>0</v>
      </c>
      <c r="Q4" s="128" t="s">
        <v>458</v>
      </c>
      <c r="R4" s="53" t="s">
        <v>458</v>
      </c>
      <c r="S4" s="53">
        <v>0</v>
      </c>
      <c r="T4" s="53">
        <v>100</v>
      </c>
      <c r="U4" s="121" t="s">
        <v>458</v>
      </c>
      <c r="V4" s="121" t="s">
        <v>458</v>
      </c>
      <c r="W4" s="59" t="s">
        <v>458</v>
      </c>
      <c r="X4" s="73" t="s">
        <v>458</v>
      </c>
      <c r="Y4" s="73" t="s">
        <v>458</v>
      </c>
      <c r="Z4" s="73" t="s">
        <v>458</v>
      </c>
      <c r="AA4" s="59" t="s">
        <v>458</v>
      </c>
      <c r="AB4" s="73" t="s">
        <v>458</v>
      </c>
      <c r="AC4" s="59" t="s">
        <v>458</v>
      </c>
      <c r="AD4" s="73" t="s">
        <v>458</v>
      </c>
      <c r="AE4" s="73" t="s">
        <v>458</v>
      </c>
      <c r="AF4" s="73" t="s">
        <v>458</v>
      </c>
      <c r="AG4" s="288">
        <v>0.97399999999999998</v>
      </c>
      <c r="AH4" s="78" t="s">
        <v>109</v>
      </c>
      <c r="AI4" s="81" t="s">
        <v>458</v>
      </c>
      <c r="AJ4" s="41" t="s">
        <v>166</v>
      </c>
      <c r="AK4" s="53">
        <v>9</v>
      </c>
      <c r="AL4" s="197" t="s">
        <v>458</v>
      </c>
      <c r="AM4" s="197" t="s">
        <v>458</v>
      </c>
      <c r="AN4" s="63" t="s">
        <v>458</v>
      </c>
      <c r="AO4" s="63" t="s">
        <v>167</v>
      </c>
      <c r="AP4" s="85" t="s">
        <v>169</v>
      </c>
      <c r="AQ4" s="197" t="s">
        <v>458</v>
      </c>
      <c r="AR4" s="197" t="s">
        <v>458</v>
      </c>
      <c r="AS4" s="197" t="s">
        <v>458</v>
      </c>
      <c r="AT4" s="206" t="s">
        <v>168</v>
      </c>
      <c r="AU4" s="197" t="s">
        <v>458</v>
      </c>
    </row>
    <row r="5" spans="1:51" ht="16" x14ac:dyDescent="0.2">
      <c r="A5" s="21">
        <v>5</v>
      </c>
      <c r="B5" s="29">
        <v>2</v>
      </c>
      <c r="C5" s="29" t="s">
        <v>41</v>
      </c>
      <c r="D5" s="207" t="s">
        <v>34</v>
      </c>
      <c r="E5" s="45" t="s">
        <v>133</v>
      </c>
      <c r="F5" s="45" t="s">
        <v>134</v>
      </c>
      <c r="G5" s="45">
        <v>94</v>
      </c>
      <c r="H5" s="45">
        <v>6</v>
      </c>
      <c r="I5" s="45">
        <f t="shared" si="0"/>
        <v>100</v>
      </c>
      <c r="J5" s="57" t="s">
        <v>111</v>
      </c>
      <c r="K5" s="80" t="s">
        <v>163</v>
      </c>
      <c r="L5" s="360" t="s">
        <v>422</v>
      </c>
      <c r="M5" s="67">
        <v>10</v>
      </c>
      <c r="N5" s="53" t="s">
        <v>458</v>
      </c>
      <c r="O5" s="59" t="s">
        <v>458</v>
      </c>
      <c r="P5" s="53">
        <v>0</v>
      </c>
      <c r="Q5" s="128" t="s">
        <v>458</v>
      </c>
      <c r="R5" s="45" t="s">
        <v>458</v>
      </c>
      <c r="S5" s="53">
        <v>0</v>
      </c>
      <c r="T5" s="67">
        <v>90</v>
      </c>
      <c r="U5" s="121" t="s">
        <v>458</v>
      </c>
      <c r="V5" s="121" t="s">
        <v>458</v>
      </c>
      <c r="W5" s="59" t="s">
        <v>458</v>
      </c>
      <c r="X5" s="73" t="s">
        <v>458</v>
      </c>
      <c r="Y5" s="73" t="s">
        <v>458</v>
      </c>
      <c r="Z5" s="73" t="s">
        <v>458</v>
      </c>
      <c r="AA5" s="59" t="s">
        <v>458</v>
      </c>
      <c r="AB5" s="73" t="s">
        <v>458</v>
      </c>
      <c r="AC5" s="59" t="s">
        <v>458</v>
      </c>
      <c r="AD5" s="73" t="s">
        <v>458</v>
      </c>
      <c r="AE5" s="73" t="s">
        <v>458</v>
      </c>
      <c r="AF5" s="73" t="s">
        <v>458</v>
      </c>
      <c r="AG5" s="289">
        <v>0.98599999999999999</v>
      </c>
      <c r="AH5" s="78" t="s">
        <v>109</v>
      </c>
      <c r="AI5" s="81" t="s">
        <v>458</v>
      </c>
      <c r="AJ5" s="41" t="s">
        <v>166</v>
      </c>
      <c r="AK5" s="53">
        <v>9</v>
      </c>
      <c r="AL5" s="197" t="s">
        <v>458</v>
      </c>
      <c r="AM5" s="197" t="s">
        <v>458</v>
      </c>
      <c r="AN5" s="53">
        <v>1.4999999999999999E-2</v>
      </c>
      <c r="AO5" s="63" t="s">
        <v>167</v>
      </c>
      <c r="AP5" s="85" t="s">
        <v>183</v>
      </c>
      <c r="AQ5" s="197" t="s">
        <v>458</v>
      </c>
      <c r="AR5" s="197" t="s">
        <v>458</v>
      </c>
      <c r="AS5" s="197" t="s">
        <v>458</v>
      </c>
      <c r="AT5" s="85" t="s">
        <v>169</v>
      </c>
      <c r="AU5" s="197" t="s">
        <v>458</v>
      </c>
    </row>
    <row r="6" spans="1:51" ht="16" x14ac:dyDescent="0.2">
      <c r="A6" s="21">
        <v>5</v>
      </c>
      <c r="B6" s="29">
        <v>3</v>
      </c>
      <c r="C6" s="29" t="s">
        <v>41</v>
      </c>
      <c r="D6" s="41" t="s">
        <v>35</v>
      </c>
      <c r="E6" s="45" t="s">
        <v>133</v>
      </c>
      <c r="F6" s="45" t="s">
        <v>134</v>
      </c>
      <c r="G6" s="45">
        <v>94</v>
      </c>
      <c r="H6" s="45">
        <v>6</v>
      </c>
      <c r="I6" s="45">
        <f t="shared" si="0"/>
        <v>100</v>
      </c>
      <c r="J6" s="57" t="s">
        <v>111</v>
      </c>
      <c r="K6" s="80" t="s">
        <v>163</v>
      </c>
      <c r="L6" s="237" t="s">
        <v>422</v>
      </c>
      <c r="M6" s="67">
        <v>20</v>
      </c>
      <c r="N6" s="53" t="s">
        <v>458</v>
      </c>
      <c r="O6" s="59" t="s">
        <v>458</v>
      </c>
      <c r="P6" s="53">
        <v>0</v>
      </c>
      <c r="Q6" s="128" t="s">
        <v>458</v>
      </c>
      <c r="R6" s="45" t="s">
        <v>458</v>
      </c>
      <c r="S6" s="53">
        <v>0</v>
      </c>
      <c r="T6" s="67">
        <v>80</v>
      </c>
      <c r="U6" s="121" t="s">
        <v>458</v>
      </c>
      <c r="V6" s="121" t="s">
        <v>458</v>
      </c>
      <c r="W6" s="59" t="s">
        <v>458</v>
      </c>
      <c r="X6" s="73" t="s">
        <v>458</v>
      </c>
      <c r="Y6" s="73" t="s">
        <v>458</v>
      </c>
      <c r="Z6" s="73" t="s">
        <v>458</v>
      </c>
      <c r="AA6" s="59" t="s">
        <v>458</v>
      </c>
      <c r="AB6" s="73" t="s">
        <v>458</v>
      </c>
      <c r="AC6" s="59" t="s">
        <v>458</v>
      </c>
      <c r="AD6" s="73" t="s">
        <v>458</v>
      </c>
      <c r="AE6" s="73" t="s">
        <v>458</v>
      </c>
      <c r="AF6" s="73" t="s">
        <v>458</v>
      </c>
      <c r="AG6" s="289">
        <v>0.99099999999999999</v>
      </c>
      <c r="AH6" s="78" t="s">
        <v>109</v>
      </c>
      <c r="AI6" s="81" t="s">
        <v>458</v>
      </c>
      <c r="AJ6" s="41" t="s">
        <v>166</v>
      </c>
      <c r="AK6" s="53">
        <v>9</v>
      </c>
      <c r="AL6" s="197" t="s">
        <v>458</v>
      </c>
      <c r="AM6" s="197" t="s">
        <v>458</v>
      </c>
      <c r="AN6" s="53">
        <v>1.7999999999999999E-2</v>
      </c>
      <c r="AO6" s="63" t="s">
        <v>167</v>
      </c>
      <c r="AP6" s="85" t="s">
        <v>184</v>
      </c>
      <c r="AQ6" s="197" t="s">
        <v>458</v>
      </c>
      <c r="AR6" s="197" t="s">
        <v>458</v>
      </c>
      <c r="AS6" s="197" t="s">
        <v>458</v>
      </c>
      <c r="AT6" s="85" t="s">
        <v>169</v>
      </c>
      <c r="AU6" s="197" t="s">
        <v>458</v>
      </c>
    </row>
    <row r="7" spans="1:51" ht="16" x14ac:dyDescent="0.2">
      <c r="A7" s="21">
        <v>5</v>
      </c>
      <c r="B7" s="29">
        <v>4</v>
      </c>
      <c r="C7" s="29" t="s">
        <v>41</v>
      </c>
      <c r="D7" s="41" t="s">
        <v>36</v>
      </c>
      <c r="E7" s="45" t="s">
        <v>133</v>
      </c>
      <c r="F7" s="45" t="s">
        <v>134</v>
      </c>
      <c r="G7" s="45">
        <v>94</v>
      </c>
      <c r="H7" s="45">
        <v>6</v>
      </c>
      <c r="I7" s="45">
        <f t="shared" si="0"/>
        <v>100</v>
      </c>
      <c r="J7" s="57" t="s">
        <v>111</v>
      </c>
      <c r="K7" s="80" t="s">
        <v>163</v>
      </c>
      <c r="L7" s="237" t="s">
        <v>422</v>
      </c>
      <c r="M7" s="67">
        <v>30</v>
      </c>
      <c r="N7" s="53" t="s">
        <v>458</v>
      </c>
      <c r="O7" s="59" t="s">
        <v>458</v>
      </c>
      <c r="P7" s="53">
        <v>0</v>
      </c>
      <c r="Q7" s="128" t="s">
        <v>458</v>
      </c>
      <c r="R7" s="45" t="s">
        <v>458</v>
      </c>
      <c r="S7" s="53">
        <v>0</v>
      </c>
      <c r="T7" s="67">
        <v>70</v>
      </c>
      <c r="U7" s="121" t="s">
        <v>458</v>
      </c>
      <c r="V7" s="121" t="s">
        <v>458</v>
      </c>
      <c r="W7" s="59" t="s">
        <v>458</v>
      </c>
      <c r="X7" s="73" t="s">
        <v>458</v>
      </c>
      <c r="Y7" s="73" t="s">
        <v>458</v>
      </c>
      <c r="Z7" s="73" t="s">
        <v>458</v>
      </c>
      <c r="AA7" s="59" t="s">
        <v>458</v>
      </c>
      <c r="AB7" s="73" t="s">
        <v>458</v>
      </c>
      <c r="AC7" s="59" t="s">
        <v>458</v>
      </c>
      <c r="AD7" s="73" t="s">
        <v>458</v>
      </c>
      <c r="AE7" s="73" t="s">
        <v>458</v>
      </c>
      <c r="AF7" s="73" t="s">
        <v>458</v>
      </c>
      <c r="AG7" s="289">
        <v>1.1319999999999999</v>
      </c>
      <c r="AH7" s="78" t="s">
        <v>109</v>
      </c>
      <c r="AI7" s="81" t="s">
        <v>458</v>
      </c>
      <c r="AJ7" s="41" t="s">
        <v>166</v>
      </c>
      <c r="AK7" s="53">
        <v>9</v>
      </c>
      <c r="AL7" s="197" t="s">
        <v>458</v>
      </c>
      <c r="AM7" s="197" t="s">
        <v>458</v>
      </c>
      <c r="AN7" s="53">
        <v>2.1999999999999999E-2</v>
      </c>
      <c r="AO7" s="63" t="s">
        <v>167</v>
      </c>
      <c r="AP7" s="85" t="s">
        <v>185</v>
      </c>
      <c r="AQ7" s="197" t="s">
        <v>458</v>
      </c>
      <c r="AR7" s="197" t="s">
        <v>458</v>
      </c>
      <c r="AS7" s="197" t="s">
        <v>458</v>
      </c>
      <c r="AT7" s="85" t="s">
        <v>192</v>
      </c>
      <c r="AU7" s="197" t="s">
        <v>458</v>
      </c>
      <c r="AV7" s="71"/>
      <c r="AW7" s="71"/>
      <c r="AX7" s="71"/>
      <c r="AY7" s="70"/>
    </row>
    <row r="8" spans="1:51" ht="16" x14ac:dyDescent="0.2">
      <c r="A8" s="21">
        <v>5</v>
      </c>
      <c r="B8" s="29">
        <v>5</v>
      </c>
      <c r="C8" s="29" t="s">
        <v>41</v>
      </c>
      <c r="D8" s="41" t="s">
        <v>37</v>
      </c>
      <c r="E8" s="45" t="s">
        <v>133</v>
      </c>
      <c r="F8" s="45" t="s">
        <v>134</v>
      </c>
      <c r="G8" s="45">
        <v>94</v>
      </c>
      <c r="H8" s="45">
        <v>6</v>
      </c>
      <c r="I8" s="45">
        <f t="shared" si="0"/>
        <v>100</v>
      </c>
      <c r="J8" s="57" t="s">
        <v>111</v>
      </c>
      <c r="K8" s="80" t="s">
        <v>163</v>
      </c>
      <c r="L8" s="237" t="s">
        <v>422</v>
      </c>
      <c r="M8" s="67">
        <v>40</v>
      </c>
      <c r="N8" s="53" t="s">
        <v>458</v>
      </c>
      <c r="O8" s="59" t="s">
        <v>458</v>
      </c>
      <c r="P8" s="53">
        <v>0</v>
      </c>
      <c r="Q8" s="128" t="s">
        <v>458</v>
      </c>
      <c r="R8" s="45" t="s">
        <v>458</v>
      </c>
      <c r="S8" s="53">
        <v>0</v>
      </c>
      <c r="T8" s="67">
        <v>60</v>
      </c>
      <c r="U8" s="121" t="s">
        <v>458</v>
      </c>
      <c r="V8" s="121" t="s">
        <v>458</v>
      </c>
      <c r="W8" s="59" t="s">
        <v>458</v>
      </c>
      <c r="X8" s="73" t="s">
        <v>458</v>
      </c>
      <c r="Y8" s="73" t="s">
        <v>458</v>
      </c>
      <c r="Z8" s="73" t="s">
        <v>458</v>
      </c>
      <c r="AA8" s="59" t="s">
        <v>458</v>
      </c>
      <c r="AB8" s="73" t="s">
        <v>458</v>
      </c>
      <c r="AC8" s="59" t="s">
        <v>458</v>
      </c>
      <c r="AD8" s="73" t="s">
        <v>458</v>
      </c>
      <c r="AE8" s="73" t="s">
        <v>458</v>
      </c>
      <c r="AF8" s="73" t="s">
        <v>458</v>
      </c>
      <c r="AG8" s="289">
        <v>1.0209999999999999</v>
      </c>
      <c r="AH8" s="78" t="s">
        <v>109</v>
      </c>
      <c r="AI8" s="81" t="s">
        <v>458</v>
      </c>
      <c r="AJ8" s="41" t="s">
        <v>166</v>
      </c>
      <c r="AK8" s="53">
        <v>9</v>
      </c>
      <c r="AL8" s="197" t="s">
        <v>458</v>
      </c>
      <c r="AM8" s="197" t="s">
        <v>458</v>
      </c>
      <c r="AN8" s="53">
        <v>2.1999999999999999E-2</v>
      </c>
      <c r="AO8" s="63" t="s">
        <v>167</v>
      </c>
      <c r="AP8" s="85" t="s">
        <v>187</v>
      </c>
      <c r="AQ8" s="197" t="s">
        <v>458</v>
      </c>
      <c r="AR8" s="197" t="s">
        <v>458</v>
      </c>
      <c r="AS8" s="197" t="s">
        <v>458</v>
      </c>
      <c r="AT8" s="85" t="s">
        <v>194</v>
      </c>
      <c r="AU8" s="197" t="s">
        <v>458</v>
      </c>
      <c r="AV8" s="71"/>
      <c r="AW8" s="71"/>
      <c r="AX8" s="71"/>
      <c r="AY8" s="71"/>
    </row>
    <row r="9" spans="1:51" ht="16" x14ac:dyDescent="0.2">
      <c r="A9" s="21">
        <v>5</v>
      </c>
      <c r="B9" s="29">
        <v>6</v>
      </c>
      <c r="C9" s="29" t="s">
        <v>41</v>
      </c>
      <c r="D9" s="41" t="s">
        <v>38</v>
      </c>
      <c r="E9" s="45" t="s">
        <v>133</v>
      </c>
      <c r="F9" s="45" t="s">
        <v>134</v>
      </c>
      <c r="G9" s="45">
        <v>94</v>
      </c>
      <c r="H9" s="45">
        <v>6</v>
      </c>
      <c r="I9" s="45">
        <f t="shared" si="0"/>
        <v>100</v>
      </c>
      <c r="J9" s="57" t="s">
        <v>111</v>
      </c>
      <c r="K9" s="80" t="s">
        <v>163</v>
      </c>
      <c r="L9" s="237" t="s">
        <v>422</v>
      </c>
      <c r="M9" s="67">
        <v>50</v>
      </c>
      <c r="N9" s="53" t="s">
        <v>458</v>
      </c>
      <c r="O9" s="59" t="s">
        <v>458</v>
      </c>
      <c r="P9" s="53">
        <v>0</v>
      </c>
      <c r="Q9" s="128" t="s">
        <v>458</v>
      </c>
      <c r="R9" s="45" t="s">
        <v>458</v>
      </c>
      <c r="S9" s="53">
        <v>0</v>
      </c>
      <c r="T9" s="67">
        <v>50</v>
      </c>
      <c r="U9" s="121" t="s">
        <v>458</v>
      </c>
      <c r="V9" s="121" t="s">
        <v>458</v>
      </c>
      <c r="W9" s="59" t="s">
        <v>458</v>
      </c>
      <c r="X9" s="73" t="s">
        <v>458</v>
      </c>
      <c r="Y9" s="73" t="s">
        <v>458</v>
      </c>
      <c r="Z9" s="73" t="s">
        <v>458</v>
      </c>
      <c r="AA9" s="59" t="s">
        <v>458</v>
      </c>
      <c r="AB9" s="73" t="s">
        <v>458</v>
      </c>
      <c r="AC9" s="59" t="s">
        <v>458</v>
      </c>
      <c r="AD9" s="73" t="s">
        <v>458</v>
      </c>
      <c r="AE9" s="73" t="s">
        <v>458</v>
      </c>
      <c r="AF9" s="73" t="s">
        <v>458</v>
      </c>
      <c r="AG9" s="289">
        <v>1.143</v>
      </c>
      <c r="AH9" s="78" t="s">
        <v>109</v>
      </c>
      <c r="AI9" s="81" t="s">
        <v>458</v>
      </c>
      <c r="AJ9" s="41" t="s">
        <v>166</v>
      </c>
      <c r="AK9" s="53">
        <v>9</v>
      </c>
      <c r="AL9" s="197" t="s">
        <v>458</v>
      </c>
      <c r="AM9" s="197" t="s">
        <v>458</v>
      </c>
      <c r="AN9" s="53">
        <v>2.1999999999999999E-2</v>
      </c>
      <c r="AO9" s="63" t="s">
        <v>167</v>
      </c>
      <c r="AP9" s="85" t="s">
        <v>186</v>
      </c>
      <c r="AQ9" s="197" t="s">
        <v>458</v>
      </c>
      <c r="AR9" s="197" t="s">
        <v>458</v>
      </c>
      <c r="AS9" s="197" t="s">
        <v>458</v>
      </c>
      <c r="AT9" s="85" t="s">
        <v>196</v>
      </c>
      <c r="AU9" s="197" t="s">
        <v>458</v>
      </c>
      <c r="AV9" s="71"/>
      <c r="AW9" s="71"/>
      <c r="AX9" s="71"/>
      <c r="AY9" s="71"/>
    </row>
    <row r="10" spans="1:51" ht="16" x14ac:dyDescent="0.2">
      <c r="A10" s="21">
        <v>5</v>
      </c>
      <c r="B10" s="29">
        <v>7</v>
      </c>
      <c r="C10" s="29" t="s">
        <v>41</v>
      </c>
      <c r="D10" s="41" t="s">
        <v>39</v>
      </c>
      <c r="E10" s="45" t="s">
        <v>133</v>
      </c>
      <c r="F10" s="45" t="s">
        <v>134</v>
      </c>
      <c r="G10" s="45">
        <v>94</v>
      </c>
      <c r="H10" s="45">
        <v>6</v>
      </c>
      <c r="I10" s="45">
        <f t="shared" si="0"/>
        <v>100</v>
      </c>
      <c r="J10" s="57" t="s">
        <v>111</v>
      </c>
      <c r="K10" s="80" t="s">
        <v>163</v>
      </c>
      <c r="L10" s="237" t="s">
        <v>422</v>
      </c>
      <c r="M10" s="67">
        <v>60</v>
      </c>
      <c r="N10" s="53" t="s">
        <v>458</v>
      </c>
      <c r="O10" s="59" t="s">
        <v>458</v>
      </c>
      <c r="P10" s="53">
        <v>0</v>
      </c>
      <c r="Q10" s="128" t="s">
        <v>458</v>
      </c>
      <c r="R10" s="45" t="s">
        <v>458</v>
      </c>
      <c r="S10" s="53">
        <v>0</v>
      </c>
      <c r="T10" s="67">
        <v>40</v>
      </c>
      <c r="U10" s="121" t="s">
        <v>458</v>
      </c>
      <c r="V10" s="121" t="s">
        <v>458</v>
      </c>
      <c r="W10" s="59" t="s">
        <v>458</v>
      </c>
      <c r="X10" s="73" t="s">
        <v>458</v>
      </c>
      <c r="Y10" s="73" t="s">
        <v>458</v>
      </c>
      <c r="Z10" s="73" t="s">
        <v>458</v>
      </c>
      <c r="AA10" s="59" t="s">
        <v>458</v>
      </c>
      <c r="AB10" s="73" t="s">
        <v>458</v>
      </c>
      <c r="AC10" s="59" t="s">
        <v>458</v>
      </c>
      <c r="AD10" s="73" t="s">
        <v>458</v>
      </c>
      <c r="AE10" s="73" t="s">
        <v>458</v>
      </c>
      <c r="AF10" s="73" t="s">
        <v>458</v>
      </c>
      <c r="AG10" s="289">
        <v>1.1319999999999999</v>
      </c>
      <c r="AH10" s="78" t="s">
        <v>109</v>
      </c>
      <c r="AI10" s="81" t="s">
        <v>458</v>
      </c>
      <c r="AJ10" s="41" t="s">
        <v>166</v>
      </c>
      <c r="AK10" s="53">
        <v>9</v>
      </c>
      <c r="AL10" s="197" t="s">
        <v>458</v>
      </c>
      <c r="AM10" s="197" t="s">
        <v>458</v>
      </c>
      <c r="AN10" s="53">
        <v>2.1999999999999999E-2</v>
      </c>
      <c r="AO10" s="63" t="s">
        <v>167</v>
      </c>
      <c r="AP10" s="85" t="s">
        <v>188</v>
      </c>
      <c r="AQ10" s="197" t="s">
        <v>458</v>
      </c>
      <c r="AR10" s="197" t="s">
        <v>458</v>
      </c>
      <c r="AS10" s="197" t="s">
        <v>458</v>
      </c>
      <c r="AT10" s="85" t="s">
        <v>199</v>
      </c>
      <c r="AU10" s="197" t="s">
        <v>458</v>
      </c>
      <c r="AV10" s="71"/>
      <c r="AW10" s="71"/>
      <c r="AX10" s="71"/>
      <c r="AY10" s="71"/>
    </row>
    <row r="11" spans="1:51" ht="16" x14ac:dyDescent="0.2">
      <c r="A11" s="21">
        <v>5</v>
      </c>
      <c r="B11" s="29">
        <v>8</v>
      </c>
      <c r="C11" s="29" t="s">
        <v>41</v>
      </c>
      <c r="D11" s="41" t="s">
        <v>40</v>
      </c>
      <c r="E11" s="45" t="s">
        <v>133</v>
      </c>
      <c r="F11" s="45" t="s">
        <v>134</v>
      </c>
      <c r="G11" s="45">
        <v>94</v>
      </c>
      <c r="H11" s="45">
        <v>6</v>
      </c>
      <c r="I11" s="45">
        <f t="shared" si="0"/>
        <v>100</v>
      </c>
      <c r="J11" s="57" t="s">
        <v>111</v>
      </c>
      <c r="K11" s="80" t="s">
        <v>163</v>
      </c>
      <c r="L11" s="237" t="s">
        <v>422</v>
      </c>
      <c r="M11" s="67">
        <v>70</v>
      </c>
      <c r="N11" s="53" t="s">
        <v>458</v>
      </c>
      <c r="O11" s="59" t="s">
        <v>458</v>
      </c>
      <c r="P11" s="53">
        <v>0</v>
      </c>
      <c r="Q11" s="128" t="s">
        <v>458</v>
      </c>
      <c r="R11" s="45" t="s">
        <v>458</v>
      </c>
      <c r="S11" s="53">
        <v>0</v>
      </c>
      <c r="T11" s="67">
        <v>30</v>
      </c>
      <c r="U11" s="121" t="s">
        <v>458</v>
      </c>
      <c r="V11" s="121" t="s">
        <v>458</v>
      </c>
      <c r="W11" s="59" t="s">
        <v>458</v>
      </c>
      <c r="X11" s="73" t="s">
        <v>458</v>
      </c>
      <c r="Y11" s="73" t="s">
        <v>458</v>
      </c>
      <c r="Z11" s="73" t="s">
        <v>458</v>
      </c>
      <c r="AA11" s="59" t="s">
        <v>458</v>
      </c>
      <c r="AB11" s="73" t="s">
        <v>458</v>
      </c>
      <c r="AC11" s="59" t="s">
        <v>458</v>
      </c>
      <c r="AD11" s="73" t="s">
        <v>458</v>
      </c>
      <c r="AE11" s="73" t="s">
        <v>458</v>
      </c>
      <c r="AF11" s="73" t="s">
        <v>458</v>
      </c>
      <c r="AG11" s="289">
        <v>1.2430000000000001</v>
      </c>
      <c r="AH11" s="78" t="s">
        <v>109</v>
      </c>
      <c r="AI11" s="81" t="s">
        <v>458</v>
      </c>
      <c r="AJ11" s="41" t="s">
        <v>166</v>
      </c>
      <c r="AK11" s="53">
        <v>9</v>
      </c>
      <c r="AL11" s="197" t="s">
        <v>458</v>
      </c>
      <c r="AM11" s="197" t="s">
        <v>458</v>
      </c>
      <c r="AN11" s="53">
        <v>2.1999999999999999E-2</v>
      </c>
      <c r="AO11" s="63" t="s">
        <v>167</v>
      </c>
      <c r="AP11" s="85" t="s">
        <v>189</v>
      </c>
      <c r="AQ11" s="197" t="s">
        <v>458</v>
      </c>
      <c r="AR11" s="197" t="s">
        <v>458</v>
      </c>
      <c r="AS11" s="197" t="s">
        <v>458</v>
      </c>
      <c r="AT11" s="85" t="s">
        <v>202</v>
      </c>
      <c r="AU11" s="197" t="s">
        <v>458</v>
      </c>
      <c r="AV11" s="71"/>
      <c r="AW11" s="71"/>
      <c r="AX11" s="71"/>
      <c r="AY11" s="71"/>
    </row>
    <row r="12" spans="1:51" ht="16" x14ac:dyDescent="0.2">
      <c r="A12" s="21">
        <v>5</v>
      </c>
      <c r="B12" s="29">
        <v>9</v>
      </c>
      <c r="C12" s="29" t="s">
        <v>161</v>
      </c>
      <c r="D12" s="41" t="s">
        <v>33</v>
      </c>
      <c r="E12" s="45" t="s">
        <v>133</v>
      </c>
      <c r="F12" s="45" t="s">
        <v>134</v>
      </c>
      <c r="G12" s="45">
        <v>94</v>
      </c>
      <c r="H12" s="45">
        <v>6</v>
      </c>
      <c r="I12" s="45">
        <f t="shared" si="0"/>
        <v>100</v>
      </c>
      <c r="J12" s="63" t="s">
        <v>108</v>
      </c>
      <c r="K12" s="80" t="s">
        <v>458</v>
      </c>
      <c r="L12" s="230" t="s">
        <v>458</v>
      </c>
      <c r="M12" s="185">
        <v>0</v>
      </c>
      <c r="N12" s="53" t="s">
        <v>458</v>
      </c>
      <c r="O12" s="59" t="s">
        <v>458</v>
      </c>
      <c r="P12" s="53">
        <v>0</v>
      </c>
      <c r="Q12" s="128" t="s">
        <v>458</v>
      </c>
      <c r="R12" s="45" t="s">
        <v>458</v>
      </c>
      <c r="S12" s="53">
        <v>0</v>
      </c>
      <c r="T12" s="53">
        <v>100</v>
      </c>
      <c r="U12" s="121" t="s">
        <v>458</v>
      </c>
      <c r="V12" s="121" t="s">
        <v>458</v>
      </c>
      <c r="W12" s="59" t="s">
        <v>458</v>
      </c>
      <c r="X12" s="73" t="s">
        <v>458</v>
      </c>
      <c r="Y12" s="73" t="s">
        <v>458</v>
      </c>
      <c r="Z12" s="73" t="s">
        <v>458</v>
      </c>
      <c r="AA12" s="59" t="s">
        <v>458</v>
      </c>
      <c r="AB12" s="73" t="s">
        <v>458</v>
      </c>
      <c r="AC12" s="59" t="s">
        <v>458</v>
      </c>
      <c r="AD12" s="73" t="s">
        <v>458</v>
      </c>
      <c r="AE12" s="73" t="s">
        <v>458</v>
      </c>
      <c r="AF12" s="73" t="s">
        <v>458</v>
      </c>
      <c r="AG12" s="289">
        <v>0.97399999999999998</v>
      </c>
      <c r="AH12" s="78" t="s">
        <v>109</v>
      </c>
      <c r="AI12" s="81" t="s">
        <v>458</v>
      </c>
      <c r="AJ12" s="41" t="s">
        <v>166</v>
      </c>
      <c r="AK12" s="53">
        <v>9</v>
      </c>
      <c r="AL12" s="197" t="s">
        <v>458</v>
      </c>
      <c r="AM12" s="197" t="s">
        <v>458</v>
      </c>
      <c r="AN12" s="63" t="s">
        <v>458</v>
      </c>
      <c r="AO12" s="63" t="s">
        <v>167</v>
      </c>
      <c r="AP12" s="85" t="s">
        <v>169</v>
      </c>
      <c r="AQ12" s="197" t="s">
        <v>458</v>
      </c>
      <c r="AR12" s="197" t="s">
        <v>458</v>
      </c>
      <c r="AS12" s="197" t="s">
        <v>458</v>
      </c>
      <c r="AT12" s="85" t="s">
        <v>205</v>
      </c>
      <c r="AU12" s="197" t="s">
        <v>458</v>
      </c>
      <c r="AV12" s="71"/>
      <c r="AW12" s="71"/>
      <c r="AX12" s="71"/>
      <c r="AY12" s="71"/>
    </row>
    <row r="13" spans="1:51" ht="16" x14ac:dyDescent="0.2">
      <c r="A13" s="21">
        <v>5</v>
      </c>
      <c r="B13" s="29">
        <v>10</v>
      </c>
      <c r="C13" s="29" t="s">
        <v>42</v>
      </c>
      <c r="D13" s="207" t="s">
        <v>34</v>
      </c>
      <c r="E13" s="45" t="s">
        <v>133</v>
      </c>
      <c r="F13" s="45" t="s">
        <v>134</v>
      </c>
      <c r="G13" s="45">
        <v>94</v>
      </c>
      <c r="H13" s="45">
        <v>6</v>
      </c>
      <c r="I13" s="45">
        <f t="shared" si="0"/>
        <v>100</v>
      </c>
      <c r="J13" s="57" t="s">
        <v>111</v>
      </c>
      <c r="K13" s="80" t="s">
        <v>164</v>
      </c>
      <c r="L13" s="237" t="s">
        <v>422</v>
      </c>
      <c r="M13" s="67">
        <v>10</v>
      </c>
      <c r="N13" s="53" t="s">
        <v>458</v>
      </c>
      <c r="O13" s="59" t="s">
        <v>458</v>
      </c>
      <c r="P13" s="53">
        <v>0</v>
      </c>
      <c r="Q13" s="128" t="s">
        <v>458</v>
      </c>
      <c r="R13" s="45" t="s">
        <v>458</v>
      </c>
      <c r="S13" s="53">
        <v>0</v>
      </c>
      <c r="T13" s="67">
        <v>90</v>
      </c>
      <c r="U13" s="121" t="s">
        <v>458</v>
      </c>
      <c r="V13" s="121" t="s">
        <v>458</v>
      </c>
      <c r="W13" s="59" t="s">
        <v>458</v>
      </c>
      <c r="X13" s="73" t="s">
        <v>458</v>
      </c>
      <c r="Y13" s="73" t="s">
        <v>458</v>
      </c>
      <c r="Z13" s="73" t="s">
        <v>458</v>
      </c>
      <c r="AA13" s="59" t="s">
        <v>458</v>
      </c>
      <c r="AB13" s="73" t="s">
        <v>458</v>
      </c>
      <c r="AC13" s="59" t="s">
        <v>458</v>
      </c>
      <c r="AD13" s="73" t="s">
        <v>458</v>
      </c>
      <c r="AE13" s="73" t="s">
        <v>458</v>
      </c>
      <c r="AF13" s="73" t="s">
        <v>458</v>
      </c>
      <c r="AG13" s="289">
        <v>0.998</v>
      </c>
      <c r="AH13" s="78" t="s">
        <v>109</v>
      </c>
      <c r="AI13" s="81" t="s">
        <v>458</v>
      </c>
      <c r="AJ13" s="41" t="s">
        <v>166</v>
      </c>
      <c r="AK13" s="53">
        <v>9</v>
      </c>
      <c r="AL13" s="197" t="s">
        <v>458</v>
      </c>
      <c r="AM13" s="197" t="s">
        <v>458</v>
      </c>
      <c r="AN13" s="53">
        <v>1.2E-2</v>
      </c>
      <c r="AO13" s="63" t="s">
        <v>167</v>
      </c>
      <c r="AP13" s="85" t="s">
        <v>171</v>
      </c>
      <c r="AQ13" s="197" t="s">
        <v>458</v>
      </c>
      <c r="AR13" s="197" t="s">
        <v>458</v>
      </c>
      <c r="AS13" s="197" t="s">
        <v>458</v>
      </c>
      <c r="AT13" s="85" t="s">
        <v>205</v>
      </c>
      <c r="AU13" s="197" t="s">
        <v>458</v>
      </c>
      <c r="AV13" s="71"/>
      <c r="AW13" s="71"/>
      <c r="AX13" s="71"/>
      <c r="AY13" s="71"/>
    </row>
    <row r="14" spans="1:51" ht="16" x14ac:dyDescent="0.2">
      <c r="A14" s="21">
        <v>5</v>
      </c>
      <c r="B14" s="29">
        <v>11</v>
      </c>
      <c r="C14" s="29" t="s">
        <v>42</v>
      </c>
      <c r="D14" s="41" t="s">
        <v>35</v>
      </c>
      <c r="E14" s="45" t="s">
        <v>133</v>
      </c>
      <c r="F14" s="45" t="s">
        <v>134</v>
      </c>
      <c r="G14" s="45">
        <v>94</v>
      </c>
      <c r="H14" s="45">
        <v>6</v>
      </c>
      <c r="I14" s="45">
        <f t="shared" si="0"/>
        <v>100</v>
      </c>
      <c r="J14" s="57" t="s">
        <v>111</v>
      </c>
      <c r="K14" s="80" t="s">
        <v>164</v>
      </c>
      <c r="L14" s="237" t="s">
        <v>422</v>
      </c>
      <c r="M14" s="67">
        <v>20</v>
      </c>
      <c r="N14" s="53" t="s">
        <v>458</v>
      </c>
      <c r="O14" s="59" t="s">
        <v>458</v>
      </c>
      <c r="P14" s="53">
        <v>0</v>
      </c>
      <c r="Q14" s="128" t="s">
        <v>458</v>
      </c>
      <c r="R14" s="45" t="s">
        <v>458</v>
      </c>
      <c r="S14" s="53">
        <v>0</v>
      </c>
      <c r="T14" s="67">
        <v>80</v>
      </c>
      <c r="U14" s="121" t="s">
        <v>458</v>
      </c>
      <c r="V14" s="121" t="s">
        <v>458</v>
      </c>
      <c r="W14" s="59" t="s">
        <v>458</v>
      </c>
      <c r="X14" s="73" t="s">
        <v>458</v>
      </c>
      <c r="Y14" s="73" t="s">
        <v>458</v>
      </c>
      <c r="Z14" s="73" t="s">
        <v>458</v>
      </c>
      <c r="AA14" s="59" t="s">
        <v>458</v>
      </c>
      <c r="AB14" s="73" t="s">
        <v>458</v>
      </c>
      <c r="AC14" s="59" t="s">
        <v>458</v>
      </c>
      <c r="AD14" s="73" t="s">
        <v>458</v>
      </c>
      <c r="AE14" s="73" t="s">
        <v>458</v>
      </c>
      <c r="AF14" s="73" t="s">
        <v>458</v>
      </c>
      <c r="AG14" s="289">
        <v>0.98099999999999998</v>
      </c>
      <c r="AH14" s="78" t="s">
        <v>109</v>
      </c>
      <c r="AI14" s="81" t="s">
        <v>458</v>
      </c>
      <c r="AJ14" s="41" t="s">
        <v>166</v>
      </c>
      <c r="AK14" s="53">
        <v>9</v>
      </c>
      <c r="AL14" s="197" t="s">
        <v>458</v>
      </c>
      <c r="AM14" s="197" t="s">
        <v>458</v>
      </c>
      <c r="AN14" s="53">
        <v>1.2999999999999999E-2</v>
      </c>
      <c r="AO14" s="63" t="s">
        <v>167</v>
      </c>
      <c r="AP14" s="85" t="s">
        <v>171</v>
      </c>
      <c r="AQ14" s="197" t="s">
        <v>458</v>
      </c>
      <c r="AR14" s="197" t="s">
        <v>458</v>
      </c>
      <c r="AS14" s="197" t="s">
        <v>458</v>
      </c>
      <c r="AT14" s="85" t="s">
        <v>205</v>
      </c>
      <c r="AU14" s="197" t="s">
        <v>458</v>
      </c>
      <c r="AV14" s="358"/>
      <c r="AW14" s="358"/>
      <c r="AX14" s="72"/>
      <c r="AY14" s="71"/>
    </row>
    <row r="15" spans="1:51" ht="16" x14ac:dyDescent="0.2">
      <c r="A15" s="21">
        <v>5</v>
      </c>
      <c r="B15" s="29">
        <v>12</v>
      </c>
      <c r="C15" s="29" t="s">
        <v>42</v>
      </c>
      <c r="D15" s="41" t="s">
        <v>36</v>
      </c>
      <c r="E15" s="45" t="s">
        <v>133</v>
      </c>
      <c r="F15" s="45" t="s">
        <v>134</v>
      </c>
      <c r="G15" s="45">
        <v>94</v>
      </c>
      <c r="H15" s="45">
        <v>6</v>
      </c>
      <c r="I15" s="45">
        <f t="shared" si="0"/>
        <v>100</v>
      </c>
      <c r="J15" s="57" t="s">
        <v>111</v>
      </c>
      <c r="K15" s="80" t="s">
        <v>164</v>
      </c>
      <c r="L15" s="237" t="s">
        <v>422</v>
      </c>
      <c r="M15" s="67">
        <v>30</v>
      </c>
      <c r="N15" s="53" t="s">
        <v>458</v>
      </c>
      <c r="O15" s="59" t="s">
        <v>458</v>
      </c>
      <c r="P15" s="53">
        <v>0</v>
      </c>
      <c r="Q15" s="128" t="s">
        <v>458</v>
      </c>
      <c r="R15" s="45" t="s">
        <v>458</v>
      </c>
      <c r="S15" s="53">
        <v>0</v>
      </c>
      <c r="T15" s="67">
        <v>70</v>
      </c>
      <c r="U15" s="121" t="s">
        <v>458</v>
      </c>
      <c r="V15" s="121" t="s">
        <v>458</v>
      </c>
      <c r="W15" s="59" t="s">
        <v>458</v>
      </c>
      <c r="X15" s="73" t="s">
        <v>458</v>
      </c>
      <c r="Y15" s="73" t="s">
        <v>458</v>
      </c>
      <c r="Z15" s="73" t="s">
        <v>458</v>
      </c>
      <c r="AA15" s="59" t="s">
        <v>458</v>
      </c>
      <c r="AB15" s="73" t="s">
        <v>458</v>
      </c>
      <c r="AC15" s="59" t="s">
        <v>458</v>
      </c>
      <c r="AD15" s="73" t="s">
        <v>458</v>
      </c>
      <c r="AE15" s="73" t="s">
        <v>458</v>
      </c>
      <c r="AF15" s="73" t="s">
        <v>458</v>
      </c>
      <c r="AG15" s="289">
        <v>1.2070000000000001</v>
      </c>
      <c r="AH15" s="78" t="s">
        <v>109</v>
      </c>
      <c r="AI15" s="81" t="s">
        <v>458</v>
      </c>
      <c r="AJ15" s="41" t="s">
        <v>166</v>
      </c>
      <c r="AK15" s="53">
        <v>9</v>
      </c>
      <c r="AL15" s="197" t="s">
        <v>458</v>
      </c>
      <c r="AM15" s="197" t="s">
        <v>458</v>
      </c>
      <c r="AN15" s="53">
        <v>1.4E-2</v>
      </c>
      <c r="AO15" s="63" t="s">
        <v>167</v>
      </c>
      <c r="AP15" s="85" t="s">
        <v>171</v>
      </c>
      <c r="AQ15" s="197" t="s">
        <v>458</v>
      </c>
      <c r="AR15" s="197" t="s">
        <v>458</v>
      </c>
      <c r="AS15" s="197" t="s">
        <v>458</v>
      </c>
      <c r="AT15" s="85" t="s">
        <v>205</v>
      </c>
      <c r="AU15" s="197" t="s">
        <v>458</v>
      </c>
      <c r="AV15" s="69"/>
      <c r="AW15" s="69"/>
      <c r="AX15" s="69"/>
      <c r="AY15" s="71"/>
    </row>
    <row r="16" spans="1:51" ht="16" x14ac:dyDescent="0.2">
      <c r="A16" s="21">
        <v>5</v>
      </c>
      <c r="B16" s="29">
        <v>13</v>
      </c>
      <c r="C16" s="29" t="s">
        <v>42</v>
      </c>
      <c r="D16" s="41" t="s">
        <v>37</v>
      </c>
      <c r="E16" s="45" t="s">
        <v>133</v>
      </c>
      <c r="F16" s="45" t="s">
        <v>134</v>
      </c>
      <c r="G16" s="45">
        <v>94</v>
      </c>
      <c r="H16" s="45">
        <v>6</v>
      </c>
      <c r="I16" s="45">
        <f t="shared" si="0"/>
        <v>100</v>
      </c>
      <c r="J16" s="57" t="s">
        <v>111</v>
      </c>
      <c r="K16" s="80" t="s">
        <v>164</v>
      </c>
      <c r="L16" s="237" t="s">
        <v>422</v>
      </c>
      <c r="M16" s="67">
        <v>40</v>
      </c>
      <c r="N16" s="53" t="s">
        <v>458</v>
      </c>
      <c r="O16" s="59" t="s">
        <v>458</v>
      </c>
      <c r="P16" s="53">
        <v>0</v>
      </c>
      <c r="Q16" s="128" t="s">
        <v>458</v>
      </c>
      <c r="R16" s="45" t="s">
        <v>458</v>
      </c>
      <c r="S16" s="53">
        <v>0</v>
      </c>
      <c r="T16" s="67">
        <v>60</v>
      </c>
      <c r="U16" s="121" t="s">
        <v>458</v>
      </c>
      <c r="V16" s="121" t="s">
        <v>458</v>
      </c>
      <c r="W16" s="59" t="s">
        <v>458</v>
      </c>
      <c r="X16" s="73" t="s">
        <v>458</v>
      </c>
      <c r="Y16" s="73" t="s">
        <v>458</v>
      </c>
      <c r="Z16" s="73" t="s">
        <v>458</v>
      </c>
      <c r="AA16" s="59" t="s">
        <v>458</v>
      </c>
      <c r="AB16" s="73" t="s">
        <v>458</v>
      </c>
      <c r="AC16" s="59" t="s">
        <v>458</v>
      </c>
      <c r="AD16" s="73" t="s">
        <v>458</v>
      </c>
      <c r="AE16" s="73" t="s">
        <v>458</v>
      </c>
      <c r="AF16" s="73" t="s">
        <v>458</v>
      </c>
      <c r="AG16" s="289">
        <v>1.2310000000000001</v>
      </c>
      <c r="AH16" s="78" t="s">
        <v>109</v>
      </c>
      <c r="AI16" s="81" t="s">
        <v>458</v>
      </c>
      <c r="AJ16" s="41" t="s">
        <v>166</v>
      </c>
      <c r="AK16" s="53">
        <v>9</v>
      </c>
      <c r="AL16" s="197" t="s">
        <v>458</v>
      </c>
      <c r="AM16" s="197" t="s">
        <v>458</v>
      </c>
      <c r="AN16" s="53">
        <v>1.4E-2</v>
      </c>
      <c r="AO16" s="63" t="s">
        <v>167</v>
      </c>
      <c r="AP16" s="85" t="s">
        <v>172</v>
      </c>
      <c r="AQ16" s="197" t="s">
        <v>458</v>
      </c>
      <c r="AR16" s="197" t="s">
        <v>458</v>
      </c>
      <c r="AS16" s="197" t="s">
        <v>458</v>
      </c>
      <c r="AT16" s="85" t="s">
        <v>205</v>
      </c>
      <c r="AU16" s="197" t="s">
        <v>458</v>
      </c>
      <c r="AV16" s="69"/>
      <c r="AW16" s="69"/>
      <c r="AX16" s="69"/>
      <c r="AY16" s="71"/>
    </row>
    <row r="17" spans="1:50" ht="16" x14ac:dyDescent="0.2">
      <c r="A17" s="21">
        <v>5</v>
      </c>
      <c r="B17" s="29">
        <v>14</v>
      </c>
      <c r="C17" s="29" t="s">
        <v>42</v>
      </c>
      <c r="D17" s="41" t="s">
        <v>38</v>
      </c>
      <c r="E17" s="45" t="s">
        <v>133</v>
      </c>
      <c r="F17" s="45" t="s">
        <v>134</v>
      </c>
      <c r="G17" s="45">
        <v>94</v>
      </c>
      <c r="H17" s="45">
        <v>6</v>
      </c>
      <c r="I17" s="45">
        <f t="shared" si="0"/>
        <v>100</v>
      </c>
      <c r="J17" s="57" t="s">
        <v>111</v>
      </c>
      <c r="K17" s="80" t="s">
        <v>164</v>
      </c>
      <c r="L17" s="237" t="s">
        <v>422</v>
      </c>
      <c r="M17" s="67">
        <v>50</v>
      </c>
      <c r="N17" s="53" t="s">
        <v>458</v>
      </c>
      <c r="O17" s="59" t="s">
        <v>458</v>
      </c>
      <c r="P17" s="53">
        <v>0</v>
      </c>
      <c r="Q17" s="128" t="s">
        <v>458</v>
      </c>
      <c r="R17" s="45" t="s">
        <v>458</v>
      </c>
      <c r="S17" s="53">
        <v>0</v>
      </c>
      <c r="T17" s="67">
        <v>50</v>
      </c>
      <c r="U17" s="121" t="s">
        <v>458</v>
      </c>
      <c r="V17" s="121" t="s">
        <v>458</v>
      </c>
      <c r="W17" s="59" t="s">
        <v>458</v>
      </c>
      <c r="X17" s="73" t="s">
        <v>458</v>
      </c>
      <c r="Y17" s="73" t="s">
        <v>458</v>
      </c>
      <c r="Z17" s="73" t="s">
        <v>458</v>
      </c>
      <c r="AA17" s="59" t="s">
        <v>458</v>
      </c>
      <c r="AB17" s="73" t="s">
        <v>458</v>
      </c>
      <c r="AC17" s="59" t="s">
        <v>458</v>
      </c>
      <c r="AD17" s="73" t="s">
        <v>458</v>
      </c>
      <c r="AE17" s="73" t="s">
        <v>458</v>
      </c>
      <c r="AF17" s="73" t="s">
        <v>458</v>
      </c>
      <c r="AG17" s="289">
        <v>1.1619999999999999</v>
      </c>
      <c r="AH17" s="78" t="s">
        <v>109</v>
      </c>
      <c r="AI17" s="81" t="s">
        <v>458</v>
      </c>
      <c r="AJ17" s="41" t="s">
        <v>166</v>
      </c>
      <c r="AK17" s="53">
        <v>9</v>
      </c>
      <c r="AL17" s="197" t="s">
        <v>458</v>
      </c>
      <c r="AM17" s="197" t="s">
        <v>458</v>
      </c>
      <c r="AN17" s="53">
        <v>1.4E-2</v>
      </c>
      <c r="AO17" s="63" t="s">
        <v>167</v>
      </c>
      <c r="AP17" s="85" t="s">
        <v>173</v>
      </c>
      <c r="AQ17" s="197" t="s">
        <v>458</v>
      </c>
      <c r="AR17" s="197" t="s">
        <v>458</v>
      </c>
      <c r="AS17" s="197" t="s">
        <v>458</v>
      </c>
      <c r="AT17" s="85" t="s">
        <v>197</v>
      </c>
      <c r="AU17" s="197" t="s">
        <v>458</v>
      </c>
      <c r="AV17" s="69"/>
      <c r="AW17" s="69"/>
      <c r="AX17" s="69"/>
    </row>
    <row r="18" spans="1:50" ht="16" x14ac:dyDescent="0.2">
      <c r="A18" s="21">
        <v>5</v>
      </c>
      <c r="B18" s="29">
        <v>15</v>
      </c>
      <c r="C18" s="29" t="s">
        <v>42</v>
      </c>
      <c r="D18" s="41" t="s">
        <v>39</v>
      </c>
      <c r="E18" s="45" t="s">
        <v>133</v>
      </c>
      <c r="F18" s="45" t="s">
        <v>134</v>
      </c>
      <c r="G18" s="45">
        <v>94</v>
      </c>
      <c r="H18" s="45">
        <v>6</v>
      </c>
      <c r="I18" s="45">
        <f t="shared" si="0"/>
        <v>100</v>
      </c>
      <c r="J18" s="57" t="s">
        <v>111</v>
      </c>
      <c r="K18" s="80" t="s">
        <v>164</v>
      </c>
      <c r="L18" s="237" t="s">
        <v>422</v>
      </c>
      <c r="M18" s="67">
        <v>60</v>
      </c>
      <c r="N18" s="53" t="s">
        <v>458</v>
      </c>
      <c r="O18" s="59" t="s">
        <v>458</v>
      </c>
      <c r="P18" s="53">
        <v>0</v>
      </c>
      <c r="Q18" s="128" t="s">
        <v>458</v>
      </c>
      <c r="R18" s="45" t="s">
        <v>458</v>
      </c>
      <c r="S18" s="53">
        <v>0</v>
      </c>
      <c r="T18" s="67">
        <v>40</v>
      </c>
      <c r="U18" s="121" t="s">
        <v>458</v>
      </c>
      <c r="V18" s="121" t="s">
        <v>458</v>
      </c>
      <c r="W18" s="59" t="s">
        <v>458</v>
      </c>
      <c r="X18" s="73" t="s">
        <v>458</v>
      </c>
      <c r="Y18" s="73" t="s">
        <v>458</v>
      </c>
      <c r="Z18" s="73" t="s">
        <v>458</v>
      </c>
      <c r="AA18" s="59" t="s">
        <v>458</v>
      </c>
      <c r="AB18" s="73" t="s">
        <v>458</v>
      </c>
      <c r="AC18" s="59" t="s">
        <v>458</v>
      </c>
      <c r="AD18" s="73" t="s">
        <v>458</v>
      </c>
      <c r="AE18" s="73" t="s">
        <v>458</v>
      </c>
      <c r="AF18" s="73" t="s">
        <v>458</v>
      </c>
      <c r="AG18" s="289">
        <v>1.2450000000000001</v>
      </c>
      <c r="AH18" s="78" t="s">
        <v>109</v>
      </c>
      <c r="AI18" s="81" t="s">
        <v>458</v>
      </c>
      <c r="AJ18" s="41" t="s">
        <v>166</v>
      </c>
      <c r="AK18" s="53">
        <v>9</v>
      </c>
      <c r="AL18" s="197" t="s">
        <v>458</v>
      </c>
      <c r="AM18" s="197" t="s">
        <v>458</v>
      </c>
      <c r="AN18" s="53">
        <v>1.4E-2</v>
      </c>
      <c r="AO18" s="63" t="s">
        <v>167</v>
      </c>
      <c r="AP18" s="85" t="s">
        <v>174</v>
      </c>
      <c r="AQ18" s="197" t="s">
        <v>458</v>
      </c>
      <c r="AR18" s="197" t="s">
        <v>458</v>
      </c>
      <c r="AS18" s="197" t="s">
        <v>458</v>
      </c>
      <c r="AT18" s="85" t="s">
        <v>200</v>
      </c>
      <c r="AU18" s="197" t="s">
        <v>458</v>
      </c>
      <c r="AV18" s="69"/>
      <c r="AW18" s="69"/>
      <c r="AX18" s="69"/>
    </row>
    <row r="19" spans="1:50" ht="16" x14ac:dyDescent="0.2">
      <c r="A19" s="21">
        <v>5</v>
      </c>
      <c r="B19" s="29">
        <v>16</v>
      </c>
      <c r="C19" s="29" t="s">
        <v>42</v>
      </c>
      <c r="D19" s="41" t="s">
        <v>40</v>
      </c>
      <c r="E19" s="45" t="s">
        <v>133</v>
      </c>
      <c r="F19" s="45" t="s">
        <v>134</v>
      </c>
      <c r="G19" s="45">
        <v>94</v>
      </c>
      <c r="H19" s="45">
        <v>6</v>
      </c>
      <c r="I19" s="45">
        <f t="shared" si="0"/>
        <v>100</v>
      </c>
      <c r="J19" s="57" t="s">
        <v>111</v>
      </c>
      <c r="K19" s="80" t="s">
        <v>164</v>
      </c>
      <c r="L19" s="237" t="s">
        <v>422</v>
      </c>
      <c r="M19" s="67">
        <v>70</v>
      </c>
      <c r="N19" s="53" t="s">
        <v>458</v>
      </c>
      <c r="O19" s="59" t="s">
        <v>458</v>
      </c>
      <c r="P19" s="53">
        <v>0</v>
      </c>
      <c r="Q19" s="128" t="s">
        <v>458</v>
      </c>
      <c r="R19" s="45" t="s">
        <v>458</v>
      </c>
      <c r="S19" s="53">
        <v>0</v>
      </c>
      <c r="T19" s="67">
        <v>30</v>
      </c>
      <c r="U19" s="121" t="s">
        <v>458</v>
      </c>
      <c r="V19" s="121" t="s">
        <v>458</v>
      </c>
      <c r="W19" s="59" t="s">
        <v>458</v>
      </c>
      <c r="X19" s="73" t="s">
        <v>458</v>
      </c>
      <c r="Y19" s="73" t="s">
        <v>458</v>
      </c>
      <c r="Z19" s="73" t="s">
        <v>458</v>
      </c>
      <c r="AA19" s="59" t="s">
        <v>458</v>
      </c>
      <c r="AB19" s="73" t="s">
        <v>458</v>
      </c>
      <c r="AC19" s="59" t="s">
        <v>458</v>
      </c>
      <c r="AD19" s="73" t="s">
        <v>458</v>
      </c>
      <c r="AE19" s="73" t="s">
        <v>458</v>
      </c>
      <c r="AF19" s="73" t="s">
        <v>458</v>
      </c>
      <c r="AG19" s="289">
        <v>1.212</v>
      </c>
      <c r="AH19" s="78" t="s">
        <v>109</v>
      </c>
      <c r="AI19" s="81" t="s">
        <v>458</v>
      </c>
      <c r="AJ19" s="41" t="s">
        <v>166</v>
      </c>
      <c r="AK19" s="53">
        <v>9</v>
      </c>
      <c r="AL19" s="197" t="s">
        <v>458</v>
      </c>
      <c r="AM19" s="197" t="s">
        <v>458</v>
      </c>
      <c r="AN19" s="53">
        <v>1.4E-2</v>
      </c>
      <c r="AO19" s="63" t="s">
        <v>167</v>
      </c>
      <c r="AP19" s="85" t="s">
        <v>175</v>
      </c>
      <c r="AQ19" s="197" t="s">
        <v>458</v>
      </c>
      <c r="AR19" s="197" t="s">
        <v>458</v>
      </c>
      <c r="AS19" s="197" t="s">
        <v>458</v>
      </c>
      <c r="AT19" s="85" t="s">
        <v>203</v>
      </c>
      <c r="AU19" s="197" t="s">
        <v>458</v>
      </c>
      <c r="AV19" s="69"/>
      <c r="AW19" s="69"/>
      <c r="AX19" s="69"/>
    </row>
    <row r="20" spans="1:50" ht="16" x14ac:dyDescent="0.2">
      <c r="A20" s="21">
        <v>5</v>
      </c>
      <c r="B20" s="29">
        <v>17</v>
      </c>
      <c r="C20" s="29" t="s">
        <v>161</v>
      </c>
      <c r="D20" s="41" t="s">
        <v>33</v>
      </c>
      <c r="E20" s="45" t="s">
        <v>133</v>
      </c>
      <c r="F20" s="45" t="s">
        <v>134</v>
      </c>
      <c r="G20" s="45">
        <v>94</v>
      </c>
      <c r="H20" s="45">
        <v>6</v>
      </c>
      <c r="I20" s="45">
        <f t="shared" si="0"/>
        <v>100</v>
      </c>
      <c r="J20" s="63" t="s">
        <v>108</v>
      </c>
      <c r="K20" s="80" t="s">
        <v>458</v>
      </c>
      <c r="L20" s="230" t="s">
        <v>458</v>
      </c>
      <c r="M20" s="53">
        <v>0</v>
      </c>
      <c r="N20" s="53" t="s">
        <v>458</v>
      </c>
      <c r="O20" s="59" t="s">
        <v>458</v>
      </c>
      <c r="P20" s="53">
        <v>0</v>
      </c>
      <c r="Q20" s="128" t="s">
        <v>458</v>
      </c>
      <c r="R20" s="45" t="s">
        <v>458</v>
      </c>
      <c r="S20" s="53">
        <v>0</v>
      </c>
      <c r="T20" s="53">
        <v>100</v>
      </c>
      <c r="U20" s="121" t="s">
        <v>458</v>
      </c>
      <c r="V20" s="121" t="s">
        <v>458</v>
      </c>
      <c r="W20" s="59" t="s">
        <v>458</v>
      </c>
      <c r="X20" s="73" t="s">
        <v>458</v>
      </c>
      <c r="Y20" s="73" t="s">
        <v>458</v>
      </c>
      <c r="Z20" s="73" t="s">
        <v>458</v>
      </c>
      <c r="AA20" s="59" t="s">
        <v>458</v>
      </c>
      <c r="AB20" s="73" t="s">
        <v>458</v>
      </c>
      <c r="AC20" s="59" t="s">
        <v>458</v>
      </c>
      <c r="AD20" s="73" t="s">
        <v>458</v>
      </c>
      <c r="AE20" s="73" t="s">
        <v>458</v>
      </c>
      <c r="AF20" s="73" t="s">
        <v>458</v>
      </c>
      <c r="AG20" s="289">
        <v>0.97399999999999998</v>
      </c>
      <c r="AH20" s="78" t="s">
        <v>109</v>
      </c>
      <c r="AI20" s="81" t="s">
        <v>458</v>
      </c>
      <c r="AJ20" s="41" t="s">
        <v>166</v>
      </c>
      <c r="AK20" s="53">
        <v>9</v>
      </c>
      <c r="AL20" s="197" t="s">
        <v>458</v>
      </c>
      <c r="AM20" s="197" t="s">
        <v>458</v>
      </c>
      <c r="AN20" s="63" t="s">
        <v>458</v>
      </c>
      <c r="AO20" s="63" t="s">
        <v>167</v>
      </c>
      <c r="AP20" s="85" t="s">
        <v>170</v>
      </c>
      <c r="AQ20" s="197" t="s">
        <v>458</v>
      </c>
      <c r="AR20" s="197" t="s">
        <v>458</v>
      </c>
      <c r="AS20" s="197" t="s">
        <v>458</v>
      </c>
      <c r="AT20" s="85" t="s">
        <v>169</v>
      </c>
      <c r="AU20" s="197" t="s">
        <v>458</v>
      </c>
      <c r="AV20" s="69"/>
      <c r="AW20" s="69"/>
      <c r="AX20" s="69"/>
    </row>
    <row r="21" spans="1:50" ht="16" x14ac:dyDescent="0.2">
      <c r="A21" s="21">
        <v>5</v>
      </c>
      <c r="B21" s="29">
        <v>18</v>
      </c>
      <c r="C21" s="29" t="s">
        <v>43</v>
      </c>
      <c r="D21" s="207" t="s">
        <v>34</v>
      </c>
      <c r="E21" s="45" t="s">
        <v>133</v>
      </c>
      <c r="F21" s="45" t="s">
        <v>134</v>
      </c>
      <c r="G21" s="45">
        <v>94</v>
      </c>
      <c r="H21" s="45">
        <v>6</v>
      </c>
      <c r="I21" s="45">
        <f t="shared" si="0"/>
        <v>100</v>
      </c>
      <c r="J21" s="57" t="s">
        <v>111</v>
      </c>
      <c r="K21" s="80" t="s">
        <v>165</v>
      </c>
      <c r="L21" s="237" t="s">
        <v>422</v>
      </c>
      <c r="M21" s="67">
        <v>10</v>
      </c>
      <c r="N21" s="53" t="s">
        <v>458</v>
      </c>
      <c r="O21" s="59" t="s">
        <v>458</v>
      </c>
      <c r="P21" s="53">
        <v>0</v>
      </c>
      <c r="Q21" s="128" t="s">
        <v>458</v>
      </c>
      <c r="R21" s="45" t="s">
        <v>458</v>
      </c>
      <c r="S21" s="53">
        <v>0</v>
      </c>
      <c r="T21" s="67">
        <v>90</v>
      </c>
      <c r="U21" s="121" t="s">
        <v>458</v>
      </c>
      <c r="V21" s="121" t="s">
        <v>458</v>
      </c>
      <c r="W21" s="59" t="s">
        <v>458</v>
      </c>
      <c r="X21" s="73" t="s">
        <v>458</v>
      </c>
      <c r="Y21" s="73" t="s">
        <v>458</v>
      </c>
      <c r="Z21" s="73" t="s">
        <v>458</v>
      </c>
      <c r="AA21" s="59" t="s">
        <v>458</v>
      </c>
      <c r="AB21" s="73" t="s">
        <v>458</v>
      </c>
      <c r="AC21" s="59" t="s">
        <v>458</v>
      </c>
      <c r="AD21" s="73" t="s">
        <v>458</v>
      </c>
      <c r="AE21" s="73" t="s">
        <v>458</v>
      </c>
      <c r="AF21" s="73" t="s">
        <v>458</v>
      </c>
      <c r="AG21" s="289">
        <v>0.98099999999999998</v>
      </c>
      <c r="AH21" s="78" t="s">
        <v>109</v>
      </c>
      <c r="AI21" s="81" t="s">
        <v>458</v>
      </c>
      <c r="AJ21" s="41" t="s">
        <v>166</v>
      </c>
      <c r="AK21" s="53">
        <v>9</v>
      </c>
      <c r="AL21" s="197" t="s">
        <v>458</v>
      </c>
      <c r="AM21" s="197" t="s">
        <v>458</v>
      </c>
      <c r="AN21" s="53">
        <v>1.7000000000000001E-2</v>
      </c>
      <c r="AO21" s="63" t="s">
        <v>167</v>
      </c>
      <c r="AP21" s="85" t="s">
        <v>176</v>
      </c>
      <c r="AQ21" s="197" t="s">
        <v>458</v>
      </c>
      <c r="AR21" s="197" t="s">
        <v>458</v>
      </c>
      <c r="AS21" s="197" t="s">
        <v>458</v>
      </c>
      <c r="AT21" s="85" t="s">
        <v>190</v>
      </c>
      <c r="AU21" s="197" t="s">
        <v>458</v>
      </c>
      <c r="AV21" s="69"/>
      <c r="AW21" s="69"/>
      <c r="AX21" s="69"/>
    </row>
    <row r="22" spans="1:50" ht="16" x14ac:dyDescent="0.2">
      <c r="A22" s="21">
        <v>5</v>
      </c>
      <c r="B22" s="29">
        <v>19</v>
      </c>
      <c r="C22" s="29" t="s">
        <v>43</v>
      </c>
      <c r="D22" s="41" t="s">
        <v>35</v>
      </c>
      <c r="E22" s="45" t="s">
        <v>133</v>
      </c>
      <c r="F22" s="45" t="s">
        <v>134</v>
      </c>
      <c r="G22" s="45">
        <v>94</v>
      </c>
      <c r="H22" s="45">
        <v>6</v>
      </c>
      <c r="I22" s="45">
        <f t="shared" si="0"/>
        <v>100</v>
      </c>
      <c r="J22" s="57" t="s">
        <v>111</v>
      </c>
      <c r="K22" s="80" t="s">
        <v>165</v>
      </c>
      <c r="L22" s="237" t="s">
        <v>422</v>
      </c>
      <c r="M22" s="67">
        <v>20</v>
      </c>
      <c r="N22" s="53" t="s">
        <v>458</v>
      </c>
      <c r="O22" s="59" t="s">
        <v>458</v>
      </c>
      <c r="P22" s="53">
        <v>0</v>
      </c>
      <c r="Q22" s="128" t="s">
        <v>458</v>
      </c>
      <c r="R22" s="45" t="s">
        <v>458</v>
      </c>
      <c r="S22" s="53">
        <v>0</v>
      </c>
      <c r="T22" s="67">
        <v>80</v>
      </c>
      <c r="U22" s="121" t="s">
        <v>458</v>
      </c>
      <c r="V22" s="121" t="s">
        <v>458</v>
      </c>
      <c r="W22" s="59" t="s">
        <v>458</v>
      </c>
      <c r="X22" s="73" t="s">
        <v>458</v>
      </c>
      <c r="Y22" s="73" t="s">
        <v>458</v>
      </c>
      <c r="Z22" s="73" t="s">
        <v>458</v>
      </c>
      <c r="AA22" s="59" t="s">
        <v>458</v>
      </c>
      <c r="AB22" s="73" t="s">
        <v>458</v>
      </c>
      <c r="AC22" s="59" t="s">
        <v>458</v>
      </c>
      <c r="AD22" s="73" t="s">
        <v>458</v>
      </c>
      <c r="AE22" s="73" t="s">
        <v>458</v>
      </c>
      <c r="AF22" s="73" t="s">
        <v>458</v>
      </c>
      <c r="AG22" s="289">
        <v>1.121</v>
      </c>
      <c r="AH22" s="78" t="s">
        <v>109</v>
      </c>
      <c r="AI22" s="81" t="s">
        <v>458</v>
      </c>
      <c r="AJ22" s="41" t="s">
        <v>166</v>
      </c>
      <c r="AK22" s="53">
        <v>9</v>
      </c>
      <c r="AL22" s="197" t="s">
        <v>458</v>
      </c>
      <c r="AM22" s="197" t="s">
        <v>458</v>
      </c>
      <c r="AN22" s="53">
        <v>1.9E-2</v>
      </c>
      <c r="AO22" s="63" t="s">
        <v>167</v>
      </c>
      <c r="AP22" s="85" t="s">
        <v>177</v>
      </c>
      <c r="AQ22" s="197" t="s">
        <v>458</v>
      </c>
      <c r="AR22" s="197" t="s">
        <v>458</v>
      </c>
      <c r="AS22" s="197" t="s">
        <v>458</v>
      </c>
      <c r="AT22" s="85" t="s">
        <v>191</v>
      </c>
      <c r="AU22" s="197" t="s">
        <v>458</v>
      </c>
      <c r="AV22" s="69"/>
      <c r="AW22" s="69"/>
      <c r="AX22" s="69"/>
    </row>
    <row r="23" spans="1:50" ht="16" x14ac:dyDescent="0.2">
      <c r="A23" s="21">
        <v>5</v>
      </c>
      <c r="B23" s="29">
        <v>20</v>
      </c>
      <c r="C23" s="29" t="s">
        <v>43</v>
      </c>
      <c r="D23" s="41" t="s">
        <v>36</v>
      </c>
      <c r="E23" s="45" t="s">
        <v>133</v>
      </c>
      <c r="F23" s="45" t="s">
        <v>134</v>
      </c>
      <c r="G23" s="45">
        <v>94</v>
      </c>
      <c r="H23" s="45">
        <v>6</v>
      </c>
      <c r="I23" s="45">
        <f t="shared" si="0"/>
        <v>100</v>
      </c>
      <c r="J23" s="57" t="s">
        <v>111</v>
      </c>
      <c r="K23" s="80" t="s">
        <v>165</v>
      </c>
      <c r="L23" s="237" t="s">
        <v>422</v>
      </c>
      <c r="M23" s="67">
        <v>30</v>
      </c>
      <c r="N23" s="53" t="s">
        <v>458</v>
      </c>
      <c r="O23" s="59" t="s">
        <v>458</v>
      </c>
      <c r="P23" s="53">
        <v>0</v>
      </c>
      <c r="Q23" s="128" t="s">
        <v>458</v>
      </c>
      <c r="R23" s="45" t="s">
        <v>458</v>
      </c>
      <c r="S23" s="53">
        <v>0</v>
      </c>
      <c r="T23" s="67">
        <v>70</v>
      </c>
      <c r="U23" s="121" t="s">
        <v>458</v>
      </c>
      <c r="V23" s="121" t="s">
        <v>458</v>
      </c>
      <c r="W23" s="59" t="s">
        <v>458</v>
      </c>
      <c r="X23" s="73" t="s">
        <v>458</v>
      </c>
      <c r="Y23" s="73" t="s">
        <v>458</v>
      </c>
      <c r="Z23" s="73" t="s">
        <v>458</v>
      </c>
      <c r="AA23" s="59" t="s">
        <v>458</v>
      </c>
      <c r="AB23" s="73" t="s">
        <v>458</v>
      </c>
      <c r="AC23" s="59" t="s">
        <v>458</v>
      </c>
      <c r="AD23" s="73" t="s">
        <v>458</v>
      </c>
      <c r="AE23" s="73" t="s">
        <v>458</v>
      </c>
      <c r="AF23" s="73" t="s">
        <v>458</v>
      </c>
      <c r="AG23" s="289">
        <v>1.08</v>
      </c>
      <c r="AH23" s="78" t="s">
        <v>109</v>
      </c>
      <c r="AI23" s="81" t="s">
        <v>458</v>
      </c>
      <c r="AJ23" s="41" t="s">
        <v>166</v>
      </c>
      <c r="AK23" s="53">
        <v>9</v>
      </c>
      <c r="AL23" s="197" t="s">
        <v>458</v>
      </c>
      <c r="AM23" s="197" t="s">
        <v>458</v>
      </c>
      <c r="AN23" s="53">
        <v>2.3E-2</v>
      </c>
      <c r="AO23" s="63" t="s">
        <v>167</v>
      </c>
      <c r="AP23" s="85" t="s">
        <v>178</v>
      </c>
      <c r="AQ23" s="197" t="s">
        <v>458</v>
      </c>
      <c r="AR23" s="197" t="s">
        <v>458</v>
      </c>
      <c r="AS23" s="197" t="s">
        <v>458</v>
      </c>
      <c r="AT23" s="85" t="s">
        <v>193</v>
      </c>
      <c r="AU23" s="197" t="s">
        <v>458</v>
      </c>
      <c r="AV23" s="69"/>
      <c r="AW23" s="69"/>
      <c r="AX23" s="69"/>
    </row>
    <row r="24" spans="1:50" ht="16" x14ac:dyDescent="0.2">
      <c r="A24" s="21">
        <v>5</v>
      </c>
      <c r="B24" s="29">
        <v>21</v>
      </c>
      <c r="C24" s="29" t="s">
        <v>43</v>
      </c>
      <c r="D24" s="41" t="s">
        <v>37</v>
      </c>
      <c r="E24" s="45" t="s">
        <v>133</v>
      </c>
      <c r="F24" s="45" t="s">
        <v>134</v>
      </c>
      <c r="G24" s="45">
        <v>94</v>
      </c>
      <c r="H24" s="45">
        <v>6</v>
      </c>
      <c r="I24" s="45">
        <f t="shared" si="0"/>
        <v>100</v>
      </c>
      <c r="J24" s="57" t="s">
        <v>111</v>
      </c>
      <c r="K24" s="80" t="s">
        <v>165</v>
      </c>
      <c r="L24" s="237" t="s">
        <v>422</v>
      </c>
      <c r="M24" s="67">
        <v>40</v>
      </c>
      <c r="N24" s="53" t="s">
        <v>458</v>
      </c>
      <c r="O24" s="59" t="s">
        <v>458</v>
      </c>
      <c r="P24" s="53">
        <v>0</v>
      </c>
      <c r="Q24" s="128" t="s">
        <v>458</v>
      </c>
      <c r="R24" s="45" t="s">
        <v>458</v>
      </c>
      <c r="S24" s="53">
        <v>0</v>
      </c>
      <c r="T24" s="67">
        <v>60</v>
      </c>
      <c r="U24" s="121" t="s">
        <v>458</v>
      </c>
      <c r="V24" s="121" t="s">
        <v>458</v>
      </c>
      <c r="W24" s="59" t="s">
        <v>458</v>
      </c>
      <c r="X24" s="73" t="s">
        <v>458</v>
      </c>
      <c r="Y24" s="73" t="s">
        <v>458</v>
      </c>
      <c r="Z24" s="73" t="s">
        <v>458</v>
      </c>
      <c r="AA24" s="59" t="s">
        <v>458</v>
      </c>
      <c r="AB24" s="73" t="s">
        <v>458</v>
      </c>
      <c r="AC24" s="59" t="s">
        <v>458</v>
      </c>
      <c r="AD24" s="73" t="s">
        <v>458</v>
      </c>
      <c r="AE24" s="73" t="s">
        <v>458</v>
      </c>
      <c r="AF24" s="73" t="s">
        <v>458</v>
      </c>
      <c r="AG24" s="289">
        <v>1.032</v>
      </c>
      <c r="AH24" s="78" t="s">
        <v>109</v>
      </c>
      <c r="AI24" s="81" t="s">
        <v>458</v>
      </c>
      <c r="AJ24" s="41" t="s">
        <v>166</v>
      </c>
      <c r="AK24" s="53">
        <v>9</v>
      </c>
      <c r="AL24" s="197" t="s">
        <v>458</v>
      </c>
      <c r="AM24" s="197" t="s">
        <v>458</v>
      </c>
      <c r="AN24" s="53">
        <v>2.3E-2</v>
      </c>
      <c r="AO24" s="63" t="s">
        <v>167</v>
      </c>
      <c r="AP24" s="85" t="s">
        <v>179</v>
      </c>
      <c r="AQ24" s="197" t="s">
        <v>458</v>
      </c>
      <c r="AR24" s="197" t="s">
        <v>458</v>
      </c>
      <c r="AS24" s="197" t="s">
        <v>458</v>
      </c>
      <c r="AT24" s="85" t="s">
        <v>195</v>
      </c>
      <c r="AU24" s="197" t="s">
        <v>458</v>
      </c>
    </row>
    <row r="25" spans="1:50" ht="16" x14ac:dyDescent="0.2">
      <c r="A25" s="21">
        <v>5</v>
      </c>
      <c r="B25" s="29">
        <v>22</v>
      </c>
      <c r="C25" s="29" t="s">
        <v>43</v>
      </c>
      <c r="D25" s="41" t="s">
        <v>38</v>
      </c>
      <c r="E25" s="45" t="s">
        <v>133</v>
      </c>
      <c r="F25" s="45" t="s">
        <v>134</v>
      </c>
      <c r="G25" s="45">
        <v>94</v>
      </c>
      <c r="H25" s="45">
        <v>6</v>
      </c>
      <c r="I25" s="45">
        <f t="shared" si="0"/>
        <v>100</v>
      </c>
      <c r="J25" s="57" t="s">
        <v>111</v>
      </c>
      <c r="K25" s="80" t="s">
        <v>165</v>
      </c>
      <c r="L25" s="237" t="s">
        <v>422</v>
      </c>
      <c r="M25" s="67">
        <v>50</v>
      </c>
      <c r="N25" s="53" t="s">
        <v>458</v>
      </c>
      <c r="O25" s="59" t="s">
        <v>458</v>
      </c>
      <c r="P25" s="53">
        <v>0</v>
      </c>
      <c r="Q25" s="128" t="s">
        <v>458</v>
      </c>
      <c r="R25" s="45" t="s">
        <v>458</v>
      </c>
      <c r="S25" s="53">
        <v>0</v>
      </c>
      <c r="T25" s="67">
        <v>50</v>
      </c>
      <c r="U25" s="121" t="s">
        <v>458</v>
      </c>
      <c r="V25" s="121" t="s">
        <v>458</v>
      </c>
      <c r="W25" s="59" t="s">
        <v>458</v>
      </c>
      <c r="X25" s="73" t="s">
        <v>458</v>
      </c>
      <c r="Y25" s="73" t="s">
        <v>458</v>
      </c>
      <c r="Z25" s="73" t="s">
        <v>458</v>
      </c>
      <c r="AA25" s="59" t="s">
        <v>458</v>
      </c>
      <c r="AB25" s="73" t="s">
        <v>458</v>
      </c>
      <c r="AC25" s="59" t="s">
        <v>458</v>
      </c>
      <c r="AD25" s="73" t="s">
        <v>458</v>
      </c>
      <c r="AE25" s="73" t="s">
        <v>458</v>
      </c>
      <c r="AF25" s="73" t="s">
        <v>458</v>
      </c>
      <c r="AG25" s="289">
        <v>1.046</v>
      </c>
      <c r="AH25" s="78" t="s">
        <v>109</v>
      </c>
      <c r="AI25" s="81" t="s">
        <v>458</v>
      </c>
      <c r="AJ25" s="41" t="s">
        <v>166</v>
      </c>
      <c r="AK25" s="53">
        <v>9</v>
      </c>
      <c r="AL25" s="197" t="s">
        <v>458</v>
      </c>
      <c r="AM25" s="197" t="s">
        <v>458</v>
      </c>
      <c r="AN25" s="53">
        <v>2.3E-2</v>
      </c>
      <c r="AO25" s="63" t="s">
        <v>167</v>
      </c>
      <c r="AP25" s="85" t="s">
        <v>180</v>
      </c>
      <c r="AQ25" s="197" t="s">
        <v>458</v>
      </c>
      <c r="AR25" s="197" t="s">
        <v>458</v>
      </c>
      <c r="AS25" s="197" t="s">
        <v>458</v>
      </c>
      <c r="AT25" s="85" t="s">
        <v>198</v>
      </c>
      <c r="AU25" s="197" t="s">
        <v>458</v>
      </c>
    </row>
    <row r="26" spans="1:50" ht="16" x14ac:dyDescent="0.2">
      <c r="A26" s="21">
        <v>5</v>
      </c>
      <c r="B26" s="29">
        <v>23</v>
      </c>
      <c r="C26" s="29" t="s">
        <v>43</v>
      </c>
      <c r="D26" s="41" t="s">
        <v>39</v>
      </c>
      <c r="E26" s="45" t="s">
        <v>133</v>
      </c>
      <c r="F26" s="45" t="s">
        <v>134</v>
      </c>
      <c r="G26" s="45">
        <v>94</v>
      </c>
      <c r="H26" s="45">
        <v>6</v>
      </c>
      <c r="I26" s="45">
        <f t="shared" si="0"/>
        <v>100</v>
      </c>
      <c r="J26" s="57" t="s">
        <v>111</v>
      </c>
      <c r="K26" s="80" t="s">
        <v>165</v>
      </c>
      <c r="L26" s="237" t="s">
        <v>422</v>
      </c>
      <c r="M26" s="67">
        <v>60</v>
      </c>
      <c r="N26" s="53" t="s">
        <v>458</v>
      </c>
      <c r="O26" s="59" t="s">
        <v>458</v>
      </c>
      <c r="P26" s="53">
        <v>0</v>
      </c>
      <c r="Q26" s="128" t="s">
        <v>458</v>
      </c>
      <c r="R26" s="45" t="s">
        <v>458</v>
      </c>
      <c r="S26" s="53">
        <v>0</v>
      </c>
      <c r="T26" s="67">
        <v>40</v>
      </c>
      <c r="U26" s="121" t="s">
        <v>458</v>
      </c>
      <c r="V26" s="121" t="s">
        <v>458</v>
      </c>
      <c r="W26" s="59" t="s">
        <v>458</v>
      </c>
      <c r="X26" s="73" t="s">
        <v>458</v>
      </c>
      <c r="Y26" s="73" t="s">
        <v>458</v>
      </c>
      <c r="Z26" s="73" t="s">
        <v>458</v>
      </c>
      <c r="AA26" s="59" t="s">
        <v>458</v>
      </c>
      <c r="AB26" s="73" t="s">
        <v>458</v>
      </c>
      <c r="AC26" s="59" t="s">
        <v>458</v>
      </c>
      <c r="AD26" s="73" t="s">
        <v>458</v>
      </c>
      <c r="AE26" s="73" t="s">
        <v>458</v>
      </c>
      <c r="AF26" s="73" t="s">
        <v>458</v>
      </c>
      <c r="AG26" s="289">
        <v>1.1279999999999999</v>
      </c>
      <c r="AH26" s="78" t="s">
        <v>109</v>
      </c>
      <c r="AI26" s="81" t="s">
        <v>458</v>
      </c>
      <c r="AJ26" s="41" t="s">
        <v>166</v>
      </c>
      <c r="AK26" s="53">
        <v>9</v>
      </c>
      <c r="AL26" s="197" t="s">
        <v>458</v>
      </c>
      <c r="AM26" s="197" t="s">
        <v>458</v>
      </c>
      <c r="AN26" s="53">
        <v>2.3E-2</v>
      </c>
      <c r="AO26" s="63" t="s">
        <v>167</v>
      </c>
      <c r="AP26" s="85" t="s">
        <v>181</v>
      </c>
      <c r="AQ26" s="197" t="s">
        <v>458</v>
      </c>
      <c r="AR26" s="197" t="s">
        <v>458</v>
      </c>
      <c r="AS26" s="197" t="s">
        <v>458</v>
      </c>
      <c r="AT26" s="85" t="s">
        <v>201</v>
      </c>
      <c r="AU26" s="197" t="s">
        <v>458</v>
      </c>
    </row>
    <row r="27" spans="1:50" ht="16" x14ac:dyDescent="0.2">
      <c r="A27" s="21">
        <v>5</v>
      </c>
      <c r="B27" s="29">
        <v>24</v>
      </c>
      <c r="C27" s="29" t="s">
        <v>43</v>
      </c>
      <c r="D27" s="41" t="s">
        <v>40</v>
      </c>
      <c r="E27" s="45" t="s">
        <v>133</v>
      </c>
      <c r="F27" s="45" t="s">
        <v>134</v>
      </c>
      <c r="G27" s="45">
        <v>94</v>
      </c>
      <c r="H27" s="45">
        <v>6</v>
      </c>
      <c r="I27" s="45">
        <f t="shared" si="0"/>
        <v>100</v>
      </c>
      <c r="J27" s="57" t="s">
        <v>111</v>
      </c>
      <c r="K27" s="80" t="s">
        <v>165</v>
      </c>
      <c r="L27" s="237" t="s">
        <v>422</v>
      </c>
      <c r="M27" s="67">
        <v>70</v>
      </c>
      <c r="N27" s="53" t="s">
        <v>458</v>
      </c>
      <c r="O27" s="59" t="s">
        <v>458</v>
      </c>
      <c r="P27" s="53">
        <v>0</v>
      </c>
      <c r="Q27" s="128" t="s">
        <v>458</v>
      </c>
      <c r="R27" s="45" t="s">
        <v>458</v>
      </c>
      <c r="S27" s="53">
        <v>0</v>
      </c>
      <c r="T27" s="67">
        <v>30</v>
      </c>
      <c r="U27" s="121" t="s">
        <v>458</v>
      </c>
      <c r="V27" s="121" t="s">
        <v>458</v>
      </c>
      <c r="W27" s="59" t="s">
        <v>458</v>
      </c>
      <c r="X27" s="73" t="s">
        <v>458</v>
      </c>
      <c r="Y27" s="73" t="s">
        <v>458</v>
      </c>
      <c r="Z27" s="73" t="s">
        <v>458</v>
      </c>
      <c r="AA27" s="59" t="s">
        <v>458</v>
      </c>
      <c r="AB27" s="73" t="s">
        <v>458</v>
      </c>
      <c r="AC27" s="59" t="s">
        <v>458</v>
      </c>
      <c r="AD27" s="73" t="s">
        <v>458</v>
      </c>
      <c r="AE27" s="73" t="s">
        <v>458</v>
      </c>
      <c r="AF27" s="73" t="s">
        <v>458</v>
      </c>
      <c r="AG27" s="289">
        <v>1.0529999999999999</v>
      </c>
      <c r="AH27" s="78" t="s">
        <v>109</v>
      </c>
      <c r="AI27" s="81" t="s">
        <v>458</v>
      </c>
      <c r="AJ27" s="41" t="s">
        <v>166</v>
      </c>
      <c r="AK27" s="53">
        <v>9</v>
      </c>
      <c r="AL27" s="197" t="s">
        <v>458</v>
      </c>
      <c r="AM27" s="197" t="s">
        <v>458</v>
      </c>
      <c r="AN27" s="53">
        <v>2.3E-2</v>
      </c>
      <c r="AO27" s="63" t="s">
        <v>167</v>
      </c>
      <c r="AP27" s="85" t="s">
        <v>182</v>
      </c>
      <c r="AQ27" s="197" t="s">
        <v>458</v>
      </c>
      <c r="AR27" s="197" t="s">
        <v>458</v>
      </c>
      <c r="AS27" s="197" t="s">
        <v>458</v>
      </c>
      <c r="AT27" s="85" t="s">
        <v>204</v>
      </c>
      <c r="AU27" s="197" t="s">
        <v>458</v>
      </c>
    </row>
    <row r="28" spans="1:50" ht="16" x14ac:dyDescent="0.2">
      <c r="A28" s="21">
        <v>5</v>
      </c>
      <c r="B28" s="29">
        <v>25</v>
      </c>
      <c r="C28" s="29" t="s">
        <v>162</v>
      </c>
      <c r="D28" s="41" t="s">
        <v>33</v>
      </c>
      <c r="E28" s="45" t="s">
        <v>133</v>
      </c>
      <c r="F28" s="45" t="s">
        <v>134</v>
      </c>
      <c r="G28" s="45">
        <v>94</v>
      </c>
      <c r="H28" s="45">
        <v>6</v>
      </c>
      <c r="I28" s="45">
        <f t="shared" si="0"/>
        <v>100</v>
      </c>
      <c r="J28" s="63" t="s">
        <v>108</v>
      </c>
      <c r="K28" s="80" t="s">
        <v>458</v>
      </c>
      <c r="L28" s="230" t="s">
        <v>458</v>
      </c>
      <c r="M28" s="53">
        <v>0</v>
      </c>
      <c r="N28" s="53" t="s">
        <v>458</v>
      </c>
      <c r="O28" s="59" t="s">
        <v>458</v>
      </c>
      <c r="P28" s="53">
        <v>0</v>
      </c>
      <c r="Q28" s="128" t="s">
        <v>458</v>
      </c>
      <c r="R28" s="45" t="s">
        <v>458</v>
      </c>
      <c r="S28" s="53">
        <v>0</v>
      </c>
      <c r="T28" s="53">
        <v>100</v>
      </c>
      <c r="U28" s="121" t="s">
        <v>458</v>
      </c>
      <c r="V28" s="121" t="s">
        <v>458</v>
      </c>
      <c r="W28" s="59" t="s">
        <v>458</v>
      </c>
      <c r="X28" s="73" t="s">
        <v>458</v>
      </c>
      <c r="Y28" s="73" t="s">
        <v>458</v>
      </c>
      <c r="Z28" s="73" t="s">
        <v>458</v>
      </c>
      <c r="AA28" s="59" t="s">
        <v>458</v>
      </c>
      <c r="AB28" s="73" t="s">
        <v>458</v>
      </c>
      <c r="AC28" s="59" t="s">
        <v>458</v>
      </c>
      <c r="AD28" s="73" t="s">
        <v>458</v>
      </c>
      <c r="AE28" s="73" t="s">
        <v>458</v>
      </c>
      <c r="AF28" s="73" t="s">
        <v>458</v>
      </c>
      <c r="AG28" s="288">
        <v>0.97399999999999998</v>
      </c>
      <c r="AH28" s="78" t="s">
        <v>109</v>
      </c>
      <c r="AI28" s="81" t="s">
        <v>458</v>
      </c>
      <c r="AJ28" s="41" t="s">
        <v>166</v>
      </c>
      <c r="AK28" s="53">
        <v>9</v>
      </c>
      <c r="AL28" s="197" t="s">
        <v>458</v>
      </c>
      <c r="AM28" s="197" t="s">
        <v>458</v>
      </c>
      <c r="AN28" s="63" t="s">
        <v>458</v>
      </c>
      <c r="AO28" s="63" t="s">
        <v>167</v>
      </c>
      <c r="AP28" s="85" t="s">
        <v>169</v>
      </c>
      <c r="AQ28" s="197" t="s">
        <v>458</v>
      </c>
      <c r="AR28" s="197" t="s">
        <v>458</v>
      </c>
      <c r="AS28" s="197" t="s">
        <v>458</v>
      </c>
      <c r="AT28" s="85" t="s">
        <v>169</v>
      </c>
      <c r="AU28" s="197" t="s">
        <v>458</v>
      </c>
    </row>
    <row r="29" spans="1:50" ht="16" x14ac:dyDescent="0.2">
      <c r="A29" s="21">
        <v>5</v>
      </c>
      <c r="B29" s="29">
        <v>26</v>
      </c>
      <c r="C29" s="29" t="s">
        <v>44</v>
      </c>
      <c r="D29" s="207" t="s">
        <v>34</v>
      </c>
      <c r="E29" s="45" t="s">
        <v>133</v>
      </c>
      <c r="F29" s="45" t="s">
        <v>134</v>
      </c>
      <c r="G29" s="45">
        <v>94</v>
      </c>
      <c r="H29" s="45">
        <v>6</v>
      </c>
      <c r="I29" s="45">
        <f t="shared" si="0"/>
        <v>100</v>
      </c>
      <c r="J29" s="57" t="s">
        <v>111</v>
      </c>
      <c r="K29" s="80" t="s">
        <v>163</v>
      </c>
      <c r="L29" s="237" t="s">
        <v>422</v>
      </c>
      <c r="M29" s="67">
        <v>10</v>
      </c>
      <c r="N29" s="53" t="s">
        <v>458</v>
      </c>
      <c r="O29" s="59" t="s">
        <v>458</v>
      </c>
      <c r="P29" s="53">
        <v>0</v>
      </c>
      <c r="Q29" s="128" t="s">
        <v>458</v>
      </c>
      <c r="R29" s="45" t="s">
        <v>458</v>
      </c>
      <c r="S29" s="53">
        <v>0</v>
      </c>
      <c r="T29" s="67">
        <v>90</v>
      </c>
      <c r="U29" s="121" t="s">
        <v>458</v>
      </c>
      <c r="V29" s="121" t="s">
        <v>458</v>
      </c>
      <c r="W29" s="59" t="s">
        <v>458</v>
      </c>
      <c r="X29" s="73" t="s">
        <v>458</v>
      </c>
      <c r="Y29" s="73" t="s">
        <v>458</v>
      </c>
      <c r="Z29" s="73" t="s">
        <v>458</v>
      </c>
      <c r="AA29" s="59" t="s">
        <v>458</v>
      </c>
      <c r="AB29" s="73" t="s">
        <v>458</v>
      </c>
      <c r="AC29" s="59" t="s">
        <v>458</v>
      </c>
      <c r="AD29" s="73" t="s">
        <v>458</v>
      </c>
      <c r="AE29" s="73" t="s">
        <v>458</v>
      </c>
      <c r="AF29" s="73" t="s">
        <v>458</v>
      </c>
      <c r="AG29" s="289">
        <v>0.98599999999999999</v>
      </c>
      <c r="AH29" s="78" t="s">
        <v>109</v>
      </c>
      <c r="AI29" s="81" t="s">
        <v>458</v>
      </c>
      <c r="AJ29" s="41" t="s">
        <v>166</v>
      </c>
      <c r="AK29" s="53">
        <v>9</v>
      </c>
      <c r="AL29" s="197" t="s">
        <v>458</v>
      </c>
      <c r="AM29" s="197" t="s">
        <v>458</v>
      </c>
      <c r="AN29" s="53">
        <v>1.4999999999999999E-2</v>
      </c>
      <c r="AO29" s="63" t="s">
        <v>167</v>
      </c>
      <c r="AP29" s="85" t="s">
        <v>183</v>
      </c>
      <c r="AQ29" s="197" t="s">
        <v>458</v>
      </c>
      <c r="AR29" s="197" t="s">
        <v>458</v>
      </c>
      <c r="AS29" s="197" t="s">
        <v>458</v>
      </c>
      <c r="AT29" s="85" t="s">
        <v>169</v>
      </c>
      <c r="AU29" s="197" t="s">
        <v>458</v>
      </c>
    </row>
    <row r="30" spans="1:50" ht="16" x14ac:dyDescent="0.2">
      <c r="A30" s="21">
        <v>5</v>
      </c>
      <c r="B30" s="29">
        <v>27</v>
      </c>
      <c r="C30" s="29" t="s">
        <v>44</v>
      </c>
      <c r="D30" s="41" t="s">
        <v>35</v>
      </c>
      <c r="E30" s="45" t="s">
        <v>133</v>
      </c>
      <c r="F30" s="45" t="s">
        <v>134</v>
      </c>
      <c r="G30" s="45">
        <v>94</v>
      </c>
      <c r="H30" s="45">
        <v>6</v>
      </c>
      <c r="I30" s="45">
        <f t="shared" si="0"/>
        <v>100</v>
      </c>
      <c r="J30" s="57" t="s">
        <v>111</v>
      </c>
      <c r="K30" s="80" t="s">
        <v>163</v>
      </c>
      <c r="L30" s="237" t="s">
        <v>422</v>
      </c>
      <c r="M30" s="67">
        <v>20</v>
      </c>
      <c r="N30" s="318" t="s">
        <v>470</v>
      </c>
      <c r="O30" s="59" t="s">
        <v>458</v>
      </c>
      <c r="P30" s="53">
        <v>0</v>
      </c>
      <c r="Q30" s="128" t="s">
        <v>458</v>
      </c>
      <c r="R30" s="45" t="s">
        <v>458</v>
      </c>
      <c r="S30" s="53">
        <v>0</v>
      </c>
      <c r="T30" s="67">
        <v>80</v>
      </c>
      <c r="U30" s="121" t="s">
        <v>458</v>
      </c>
      <c r="V30" s="121" t="s">
        <v>458</v>
      </c>
      <c r="W30" s="59" t="s">
        <v>458</v>
      </c>
      <c r="X30" s="73" t="s">
        <v>458</v>
      </c>
      <c r="Y30" s="73" t="s">
        <v>458</v>
      </c>
      <c r="Z30" s="73" t="s">
        <v>458</v>
      </c>
      <c r="AA30" s="59" t="s">
        <v>458</v>
      </c>
      <c r="AB30" s="73" t="s">
        <v>458</v>
      </c>
      <c r="AC30" s="59" t="s">
        <v>458</v>
      </c>
      <c r="AD30" s="73" t="s">
        <v>458</v>
      </c>
      <c r="AE30" s="73" t="s">
        <v>458</v>
      </c>
      <c r="AF30" s="73" t="s">
        <v>458</v>
      </c>
      <c r="AG30" s="289">
        <v>0.99099999999999999</v>
      </c>
      <c r="AH30" s="78" t="s">
        <v>109</v>
      </c>
      <c r="AI30" s="81" t="s">
        <v>458</v>
      </c>
      <c r="AJ30" s="41" t="s">
        <v>166</v>
      </c>
      <c r="AK30" s="53">
        <v>9</v>
      </c>
      <c r="AL30" s="197" t="s">
        <v>458</v>
      </c>
      <c r="AM30" s="197" t="s">
        <v>458</v>
      </c>
      <c r="AN30" s="53">
        <v>1.7999999999999999E-2</v>
      </c>
      <c r="AO30" s="63" t="s">
        <v>167</v>
      </c>
      <c r="AP30" s="85" t="s">
        <v>184</v>
      </c>
      <c r="AQ30" s="197" t="s">
        <v>458</v>
      </c>
      <c r="AR30" s="197" t="s">
        <v>458</v>
      </c>
      <c r="AS30" s="197" t="s">
        <v>458</v>
      </c>
      <c r="AT30" s="85" t="s">
        <v>169</v>
      </c>
      <c r="AU30" s="197" t="s">
        <v>458</v>
      </c>
    </row>
    <row r="31" spans="1:50" ht="16" x14ac:dyDescent="0.2">
      <c r="A31" s="21">
        <v>5</v>
      </c>
      <c r="B31" s="29">
        <v>28</v>
      </c>
      <c r="C31" s="29" t="s">
        <v>44</v>
      </c>
      <c r="D31" s="41" t="s">
        <v>36</v>
      </c>
      <c r="E31" s="45" t="s">
        <v>133</v>
      </c>
      <c r="F31" s="45" t="s">
        <v>134</v>
      </c>
      <c r="G31" s="45">
        <v>94</v>
      </c>
      <c r="H31" s="45">
        <v>6</v>
      </c>
      <c r="I31" s="45">
        <f t="shared" si="0"/>
        <v>100</v>
      </c>
      <c r="J31" s="57" t="s">
        <v>111</v>
      </c>
      <c r="K31" s="80" t="s">
        <v>163</v>
      </c>
      <c r="L31" s="237" t="s">
        <v>422</v>
      </c>
      <c r="M31" s="67">
        <v>30</v>
      </c>
      <c r="N31" s="53" t="s">
        <v>458</v>
      </c>
      <c r="O31" s="59" t="s">
        <v>458</v>
      </c>
      <c r="P31" s="53">
        <v>0</v>
      </c>
      <c r="Q31" s="128" t="s">
        <v>458</v>
      </c>
      <c r="R31" s="45" t="s">
        <v>458</v>
      </c>
      <c r="S31" s="53">
        <v>0</v>
      </c>
      <c r="T31" s="67">
        <v>70</v>
      </c>
      <c r="U31" s="121" t="s">
        <v>458</v>
      </c>
      <c r="V31" s="121" t="s">
        <v>458</v>
      </c>
      <c r="W31" s="59" t="s">
        <v>458</v>
      </c>
      <c r="X31" s="73" t="s">
        <v>458</v>
      </c>
      <c r="Y31" s="73" t="s">
        <v>458</v>
      </c>
      <c r="Z31" s="73" t="s">
        <v>458</v>
      </c>
      <c r="AA31" s="59" t="s">
        <v>458</v>
      </c>
      <c r="AB31" s="73" t="s">
        <v>458</v>
      </c>
      <c r="AC31" s="59" t="s">
        <v>458</v>
      </c>
      <c r="AD31" s="73" t="s">
        <v>458</v>
      </c>
      <c r="AE31" s="73" t="s">
        <v>458</v>
      </c>
      <c r="AF31" s="73" t="s">
        <v>458</v>
      </c>
      <c r="AG31" s="289">
        <v>1.1319999999999999</v>
      </c>
      <c r="AH31" s="78" t="s">
        <v>109</v>
      </c>
      <c r="AI31" s="81" t="s">
        <v>458</v>
      </c>
      <c r="AJ31" s="41" t="s">
        <v>166</v>
      </c>
      <c r="AK31" s="53">
        <v>9</v>
      </c>
      <c r="AL31" s="197" t="s">
        <v>458</v>
      </c>
      <c r="AM31" s="197" t="s">
        <v>458</v>
      </c>
      <c r="AN31" s="53">
        <v>2.1999999999999999E-2</v>
      </c>
      <c r="AO31" s="63" t="s">
        <v>167</v>
      </c>
      <c r="AP31" s="85" t="s">
        <v>185</v>
      </c>
      <c r="AQ31" s="197" t="s">
        <v>458</v>
      </c>
      <c r="AR31" s="197" t="s">
        <v>458</v>
      </c>
      <c r="AS31" s="197" t="s">
        <v>458</v>
      </c>
      <c r="AT31" s="85" t="s">
        <v>192</v>
      </c>
      <c r="AU31" s="197" t="s">
        <v>458</v>
      </c>
    </row>
    <row r="32" spans="1:50" ht="16" x14ac:dyDescent="0.2">
      <c r="A32" s="21">
        <v>5</v>
      </c>
      <c r="B32" s="29">
        <v>29</v>
      </c>
      <c r="C32" s="29" t="s">
        <v>44</v>
      </c>
      <c r="D32" s="41" t="s">
        <v>37</v>
      </c>
      <c r="E32" s="45" t="s">
        <v>133</v>
      </c>
      <c r="F32" s="45" t="s">
        <v>134</v>
      </c>
      <c r="G32" s="45">
        <v>94</v>
      </c>
      <c r="H32" s="45">
        <v>6</v>
      </c>
      <c r="I32" s="45">
        <f t="shared" si="0"/>
        <v>100</v>
      </c>
      <c r="J32" s="57" t="s">
        <v>111</v>
      </c>
      <c r="K32" s="80" t="s">
        <v>163</v>
      </c>
      <c r="L32" s="237" t="s">
        <v>422</v>
      </c>
      <c r="M32" s="67">
        <v>40</v>
      </c>
      <c r="N32" s="53" t="s">
        <v>458</v>
      </c>
      <c r="O32" s="59" t="s">
        <v>458</v>
      </c>
      <c r="P32" s="53">
        <v>0</v>
      </c>
      <c r="Q32" s="128" t="s">
        <v>458</v>
      </c>
      <c r="R32" s="45" t="s">
        <v>458</v>
      </c>
      <c r="S32" s="53">
        <v>0</v>
      </c>
      <c r="T32" s="67">
        <v>60</v>
      </c>
      <c r="U32" s="121" t="s">
        <v>458</v>
      </c>
      <c r="V32" s="121" t="s">
        <v>458</v>
      </c>
      <c r="W32" s="59" t="s">
        <v>458</v>
      </c>
      <c r="X32" s="73" t="s">
        <v>458</v>
      </c>
      <c r="Y32" s="73" t="s">
        <v>458</v>
      </c>
      <c r="Z32" s="73" t="s">
        <v>458</v>
      </c>
      <c r="AA32" s="59" t="s">
        <v>458</v>
      </c>
      <c r="AB32" s="73" t="s">
        <v>458</v>
      </c>
      <c r="AC32" s="59" t="s">
        <v>458</v>
      </c>
      <c r="AD32" s="73" t="s">
        <v>458</v>
      </c>
      <c r="AE32" s="73" t="s">
        <v>458</v>
      </c>
      <c r="AF32" s="73" t="s">
        <v>458</v>
      </c>
      <c r="AG32" s="289">
        <v>1.0209999999999999</v>
      </c>
      <c r="AH32" s="78" t="s">
        <v>109</v>
      </c>
      <c r="AI32" s="81" t="s">
        <v>458</v>
      </c>
      <c r="AJ32" s="41" t="s">
        <v>166</v>
      </c>
      <c r="AK32" s="53">
        <v>9</v>
      </c>
      <c r="AL32" s="197" t="s">
        <v>458</v>
      </c>
      <c r="AM32" s="197" t="s">
        <v>458</v>
      </c>
      <c r="AN32" s="53">
        <v>2.1999999999999999E-2</v>
      </c>
      <c r="AO32" s="63" t="s">
        <v>167</v>
      </c>
      <c r="AP32" s="85" t="s">
        <v>187</v>
      </c>
      <c r="AQ32" s="197" t="s">
        <v>458</v>
      </c>
      <c r="AR32" s="197" t="s">
        <v>458</v>
      </c>
      <c r="AS32" s="197" t="s">
        <v>458</v>
      </c>
      <c r="AT32" s="85" t="s">
        <v>194</v>
      </c>
      <c r="AU32" s="197" t="s">
        <v>458</v>
      </c>
    </row>
    <row r="33" spans="1:47" ht="16" x14ac:dyDescent="0.2">
      <c r="A33" s="21">
        <v>5</v>
      </c>
      <c r="B33" s="29">
        <v>30</v>
      </c>
      <c r="C33" s="29" t="s">
        <v>44</v>
      </c>
      <c r="D33" s="41" t="s">
        <v>38</v>
      </c>
      <c r="E33" s="45" t="s">
        <v>133</v>
      </c>
      <c r="F33" s="45" t="s">
        <v>134</v>
      </c>
      <c r="G33" s="45">
        <v>94</v>
      </c>
      <c r="H33" s="45">
        <v>6</v>
      </c>
      <c r="I33" s="45">
        <f t="shared" si="0"/>
        <v>100</v>
      </c>
      <c r="J33" s="57" t="s">
        <v>111</v>
      </c>
      <c r="K33" s="80" t="s">
        <v>163</v>
      </c>
      <c r="L33" s="237" t="s">
        <v>422</v>
      </c>
      <c r="M33" s="67">
        <v>50</v>
      </c>
      <c r="N33" s="53" t="s">
        <v>458</v>
      </c>
      <c r="O33" s="59" t="s">
        <v>458</v>
      </c>
      <c r="P33" s="53">
        <v>0</v>
      </c>
      <c r="Q33" s="128" t="s">
        <v>458</v>
      </c>
      <c r="R33" s="45" t="s">
        <v>458</v>
      </c>
      <c r="S33" s="53">
        <v>0</v>
      </c>
      <c r="T33" s="67">
        <v>50</v>
      </c>
      <c r="U33" s="121" t="s">
        <v>458</v>
      </c>
      <c r="V33" s="121" t="s">
        <v>458</v>
      </c>
      <c r="W33" s="59" t="s">
        <v>458</v>
      </c>
      <c r="X33" s="73" t="s">
        <v>458</v>
      </c>
      <c r="Y33" s="73" t="s">
        <v>458</v>
      </c>
      <c r="Z33" s="73" t="s">
        <v>458</v>
      </c>
      <c r="AA33" s="59" t="s">
        <v>458</v>
      </c>
      <c r="AB33" s="73" t="s">
        <v>458</v>
      </c>
      <c r="AC33" s="59" t="s">
        <v>458</v>
      </c>
      <c r="AD33" s="73" t="s">
        <v>458</v>
      </c>
      <c r="AE33" s="73" t="s">
        <v>458</v>
      </c>
      <c r="AF33" s="73" t="s">
        <v>458</v>
      </c>
      <c r="AG33" s="289">
        <v>1.143</v>
      </c>
      <c r="AH33" s="78" t="s">
        <v>109</v>
      </c>
      <c r="AI33" s="81" t="s">
        <v>458</v>
      </c>
      <c r="AJ33" s="41" t="s">
        <v>166</v>
      </c>
      <c r="AK33" s="53">
        <v>9</v>
      </c>
      <c r="AL33" s="197" t="s">
        <v>458</v>
      </c>
      <c r="AM33" s="197" t="s">
        <v>458</v>
      </c>
      <c r="AN33" s="53">
        <v>2.1999999999999999E-2</v>
      </c>
      <c r="AO33" s="63" t="s">
        <v>167</v>
      </c>
      <c r="AP33" s="85" t="s">
        <v>186</v>
      </c>
      <c r="AQ33" s="197" t="s">
        <v>458</v>
      </c>
      <c r="AR33" s="197" t="s">
        <v>458</v>
      </c>
      <c r="AS33" s="197" t="s">
        <v>458</v>
      </c>
      <c r="AT33" s="85" t="s">
        <v>196</v>
      </c>
      <c r="AU33" s="197" t="s">
        <v>458</v>
      </c>
    </row>
    <row r="34" spans="1:47" ht="16" x14ac:dyDescent="0.2">
      <c r="A34" s="21">
        <v>5</v>
      </c>
      <c r="B34" s="29">
        <v>31</v>
      </c>
      <c r="C34" s="29" t="s">
        <v>44</v>
      </c>
      <c r="D34" s="41" t="s">
        <v>39</v>
      </c>
      <c r="E34" s="45" t="s">
        <v>133</v>
      </c>
      <c r="F34" s="45" t="s">
        <v>134</v>
      </c>
      <c r="G34" s="45">
        <v>94</v>
      </c>
      <c r="H34" s="45">
        <v>6</v>
      </c>
      <c r="I34" s="45">
        <f t="shared" si="0"/>
        <v>100</v>
      </c>
      <c r="J34" s="57" t="s">
        <v>111</v>
      </c>
      <c r="K34" s="80" t="s">
        <v>163</v>
      </c>
      <c r="L34" s="237" t="s">
        <v>422</v>
      </c>
      <c r="M34" s="67">
        <v>60</v>
      </c>
      <c r="N34" s="53" t="s">
        <v>458</v>
      </c>
      <c r="O34" s="59" t="s">
        <v>458</v>
      </c>
      <c r="P34" s="53">
        <v>0</v>
      </c>
      <c r="Q34" s="128" t="s">
        <v>458</v>
      </c>
      <c r="R34" s="45" t="s">
        <v>458</v>
      </c>
      <c r="S34" s="53">
        <v>0</v>
      </c>
      <c r="T34" s="67">
        <v>40</v>
      </c>
      <c r="U34" s="121" t="s">
        <v>458</v>
      </c>
      <c r="V34" s="121" t="s">
        <v>458</v>
      </c>
      <c r="W34" s="59" t="s">
        <v>458</v>
      </c>
      <c r="X34" s="73" t="s">
        <v>458</v>
      </c>
      <c r="Y34" s="73" t="s">
        <v>458</v>
      </c>
      <c r="Z34" s="73" t="s">
        <v>458</v>
      </c>
      <c r="AA34" s="59" t="s">
        <v>458</v>
      </c>
      <c r="AB34" s="73" t="s">
        <v>458</v>
      </c>
      <c r="AC34" s="59" t="s">
        <v>458</v>
      </c>
      <c r="AD34" s="73" t="s">
        <v>458</v>
      </c>
      <c r="AE34" s="73" t="s">
        <v>458</v>
      </c>
      <c r="AF34" s="73" t="s">
        <v>458</v>
      </c>
      <c r="AG34" s="289">
        <v>1.1319999999999999</v>
      </c>
      <c r="AH34" s="78" t="s">
        <v>109</v>
      </c>
      <c r="AI34" s="81" t="s">
        <v>458</v>
      </c>
      <c r="AJ34" s="41" t="s">
        <v>166</v>
      </c>
      <c r="AK34" s="53">
        <v>9</v>
      </c>
      <c r="AL34" s="197" t="s">
        <v>458</v>
      </c>
      <c r="AM34" s="197" t="s">
        <v>458</v>
      </c>
      <c r="AN34" s="53">
        <v>2.1999999999999999E-2</v>
      </c>
      <c r="AO34" s="63" t="s">
        <v>167</v>
      </c>
      <c r="AP34" s="85" t="s">
        <v>188</v>
      </c>
      <c r="AQ34" s="197" t="s">
        <v>458</v>
      </c>
      <c r="AR34" s="197" t="s">
        <v>458</v>
      </c>
      <c r="AS34" s="197" t="s">
        <v>458</v>
      </c>
      <c r="AT34" s="85" t="s">
        <v>199</v>
      </c>
      <c r="AU34" s="197" t="s">
        <v>458</v>
      </c>
    </row>
    <row r="35" spans="1:47" ht="16" x14ac:dyDescent="0.2">
      <c r="A35" s="21">
        <v>5</v>
      </c>
      <c r="B35" s="29">
        <v>32</v>
      </c>
      <c r="C35" s="29" t="s">
        <v>44</v>
      </c>
      <c r="D35" s="41" t="s">
        <v>40</v>
      </c>
      <c r="E35" s="45" t="s">
        <v>133</v>
      </c>
      <c r="F35" s="45" t="s">
        <v>134</v>
      </c>
      <c r="G35" s="45">
        <v>94</v>
      </c>
      <c r="H35" s="45">
        <v>6</v>
      </c>
      <c r="I35" s="45">
        <f t="shared" si="0"/>
        <v>100</v>
      </c>
      <c r="J35" s="57" t="s">
        <v>111</v>
      </c>
      <c r="K35" s="80" t="s">
        <v>163</v>
      </c>
      <c r="L35" s="237" t="s">
        <v>422</v>
      </c>
      <c r="M35" s="67">
        <v>70</v>
      </c>
      <c r="N35" s="53" t="s">
        <v>458</v>
      </c>
      <c r="O35" s="59" t="s">
        <v>458</v>
      </c>
      <c r="P35" s="53">
        <v>0</v>
      </c>
      <c r="Q35" s="128" t="s">
        <v>458</v>
      </c>
      <c r="R35" s="45" t="s">
        <v>458</v>
      </c>
      <c r="S35" s="53">
        <v>0</v>
      </c>
      <c r="T35" s="67">
        <v>30</v>
      </c>
      <c r="U35" s="121" t="s">
        <v>458</v>
      </c>
      <c r="V35" s="121" t="s">
        <v>458</v>
      </c>
      <c r="W35" s="59" t="s">
        <v>458</v>
      </c>
      <c r="X35" s="73" t="s">
        <v>458</v>
      </c>
      <c r="Y35" s="73" t="s">
        <v>458</v>
      </c>
      <c r="Z35" s="73" t="s">
        <v>458</v>
      </c>
      <c r="AA35" s="59" t="s">
        <v>458</v>
      </c>
      <c r="AB35" s="73" t="s">
        <v>458</v>
      </c>
      <c r="AC35" s="59" t="s">
        <v>458</v>
      </c>
      <c r="AD35" s="73" t="s">
        <v>458</v>
      </c>
      <c r="AE35" s="73" t="s">
        <v>458</v>
      </c>
      <c r="AF35" s="73" t="s">
        <v>458</v>
      </c>
      <c r="AG35" s="289">
        <v>1.2430000000000001</v>
      </c>
      <c r="AH35" s="78" t="s">
        <v>109</v>
      </c>
      <c r="AI35" s="81" t="s">
        <v>458</v>
      </c>
      <c r="AJ35" s="41" t="s">
        <v>166</v>
      </c>
      <c r="AK35" s="53">
        <v>9</v>
      </c>
      <c r="AL35" s="197" t="s">
        <v>458</v>
      </c>
      <c r="AM35" s="197" t="s">
        <v>458</v>
      </c>
      <c r="AN35" s="53">
        <v>2.1999999999999999E-2</v>
      </c>
      <c r="AO35" s="63" t="s">
        <v>167</v>
      </c>
      <c r="AP35" s="85" t="s">
        <v>189</v>
      </c>
      <c r="AQ35" s="197" t="s">
        <v>458</v>
      </c>
      <c r="AR35" s="197" t="s">
        <v>458</v>
      </c>
      <c r="AS35" s="197" t="s">
        <v>458</v>
      </c>
      <c r="AT35" s="85" t="s">
        <v>202</v>
      </c>
      <c r="AU35" s="197" t="s">
        <v>458</v>
      </c>
    </row>
    <row r="36" spans="1:47" ht="16" x14ac:dyDescent="0.2">
      <c r="A36" s="21">
        <v>5</v>
      </c>
      <c r="B36" s="29">
        <v>33</v>
      </c>
      <c r="C36" s="29" t="s">
        <v>162</v>
      </c>
      <c r="D36" s="41" t="s">
        <v>33</v>
      </c>
      <c r="E36" s="45" t="s">
        <v>133</v>
      </c>
      <c r="F36" s="45" t="s">
        <v>134</v>
      </c>
      <c r="G36" s="45">
        <v>94</v>
      </c>
      <c r="H36" s="45">
        <v>6</v>
      </c>
      <c r="I36" s="45">
        <f t="shared" si="0"/>
        <v>100</v>
      </c>
      <c r="J36" s="63" t="s">
        <v>108</v>
      </c>
      <c r="K36" s="80" t="s">
        <v>458</v>
      </c>
      <c r="L36" s="230" t="s">
        <v>458</v>
      </c>
      <c r="M36" s="53">
        <v>0</v>
      </c>
      <c r="N36" s="53" t="s">
        <v>458</v>
      </c>
      <c r="O36" s="59" t="s">
        <v>458</v>
      </c>
      <c r="P36" s="53">
        <v>0</v>
      </c>
      <c r="Q36" s="128" t="s">
        <v>458</v>
      </c>
      <c r="R36" s="45" t="s">
        <v>458</v>
      </c>
      <c r="S36" s="53">
        <v>0</v>
      </c>
      <c r="T36" s="53">
        <v>100</v>
      </c>
      <c r="U36" s="121" t="s">
        <v>458</v>
      </c>
      <c r="V36" s="121" t="s">
        <v>458</v>
      </c>
      <c r="W36" s="59" t="s">
        <v>458</v>
      </c>
      <c r="X36" s="73" t="s">
        <v>458</v>
      </c>
      <c r="Y36" s="73" t="s">
        <v>458</v>
      </c>
      <c r="Z36" s="73" t="s">
        <v>458</v>
      </c>
      <c r="AA36" s="59" t="s">
        <v>458</v>
      </c>
      <c r="AB36" s="73" t="s">
        <v>458</v>
      </c>
      <c r="AC36" s="59" t="s">
        <v>458</v>
      </c>
      <c r="AD36" s="73" t="s">
        <v>458</v>
      </c>
      <c r="AE36" s="73" t="s">
        <v>458</v>
      </c>
      <c r="AF36" s="73" t="s">
        <v>458</v>
      </c>
      <c r="AG36" s="289">
        <v>0.97399999999999998</v>
      </c>
      <c r="AH36" s="78" t="s">
        <v>109</v>
      </c>
      <c r="AI36" s="81" t="s">
        <v>458</v>
      </c>
      <c r="AJ36" s="41" t="s">
        <v>166</v>
      </c>
      <c r="AK36" s="53">
        <v>9</v>
      </c>
      <c r="AL36" s="197" t="s">
        <v>458</v>
      </c>
      <c r="AM36" s="197" t="s">
        <v>458</v>
      </c>
      <c r="AN36" s="63" t="s">
        <v>458</v>
      </c>
      <c r="AO36" s="63" t="s">
        <v>167</v>
      </c>
      <c r="AP36" s="85" t="s">
        <v>169</v>
      </c>
      <c r="AQ36" s="197" t="s">
        <v>458</v>
      </c>
      <c r="AR36" s="197" t="s">
        <v>458</v>
      </c>
      <c r="AS36" s="197" t="s">
        <v>458</v>
      </c>
      <c r="AT36" s="85" t="s">
        <v>205</v>
      </c>
      <c r="AU36" s="197" t="s">
        <v>458</v>
      </c>
    </row>
    <row r="37" spans="1:47" ht="16" x14ac:dyDescent="0.2">
      <c r="A37" s="21">
        <v>5</v>
      </c>
      <c r="B37" s="29">
        <v>34</v>
      </c>
      <c r="C37" s="29" t="s">
        <v>45</v>
      </c>
      <c r="D37" s="207" t="s">
        <v>34</v>
      </c>
      <c r="E37" s="45" t="s">
        <v>133</v>
      </c>
      <c r="F37" s="45" t="s">
        <v>134</v>
      </c>
      <c r="G37" s="45">
        <v>94</v>
      </c>
      <c r="H37" s="45">
        <v>6</v>
      </c>
      <c r="I37" s="45">
        <f t="shared" si="0"/>
        <v>100</v>
      </c>
      <c r="J37" s="57" t="s">
        <v>111</v>
      </c>
      <c r="K37" s="80" t="s">
        <v>164</v>
      </c>
      <c r="L37" s="237" t="s">
        <v>422</v>
      </c>
      <c r="M37" s="67">
        <v>10</v>
      </c>
      <c r="N37" s="53" t="s">
        <v>458</v>
      </c>
      <c r="O37" s="59" t="s">
        <v>458</v>
      </c>
      <c r="P37" s="53">
        <v>0</v>
      </c>
      <c r="Q37" s="128" t="s">
        <v>458</v>
      </c>
      <c r="R37" s="45" t="s">
        <v>458</v>
      </c>
      <c r="S37" s="53">
        <v>0</v>
      </c>
      <c r="T37" s="67">
        <v>90</v>
      </c>
      <c r="U37" s="121" t="s">
        <v>458</v>
      </c>
      <c r="V37" s="121" t="s">
        <v>458</v>
      </c>
      <c r="W37" s="59" t="s">
        <v>458</v>
      </c>
      <c r="X37" s="73" t="s">
        <v>458</v>
      </c>
      <c r="Y37" s="73" t="s">
        <v>458</v>
      </c>
      <c r="Z37" s="73" t="s">
        <v>458</v>
      </c>
      <c r="AA37" s="59" t="s">
        <v>458</v>
      </c>
      <c r="AB37" s="73" t="s">
        <v>458</v>
      </c>
      <c r="AC37" s="59" t="s">
        <v>458</v>
      </c>
      <c r="AD37" s="73" t="s">
        <v>458</v>
      </c>
      <c r="AE37" s="73" t="s">
        <v>458</v>
      </c>
      <c r="AF37" s="73" t="s">
        <v>458</v>
      </c>
      <c r="AG37" s="289">
        <v>0.998</v>
      </c>
      <c r="AH37" s="78" t="s">
        <v>109</v>
      </c>
      <c r="AI37" s="81" t="s">
        <v>458</v>
      </c>
      <c r="AJ37" s="41" t="s">
        <v>166</v>
      </c>
      <c r="AK37" s="53">
        <v>9</v>
      </c>
      <c r="AL37" s="197" t="s">
        <v>458</v>
      </c>
      <c r="AM37" s="197" t="s">
        <v>458</v>
      </c>
      <c r="AN37" s="53">
        <v>1.2E-2</v>
      </c>
      <c r="AO37" s="63" t="s">
        <v>167</v>
      </c>
      <c r="AP37" s="85" t="s">
        <v>171</v>
      </c>
      <c r="AQ37" s="197" t="s">
        <v>458</v>
      </c>
      <c r="AR37" s="197" t="s">
        <v>458</v>
      </c>
      <c r="AS37" s="197" t="s">
        <v>458</v>
      </c>
      <c r="AT37" s="85" t="s">
        <v>205</v>
      </c>
      <c r="AU37" s="197" t="s">
        <v>458</v>
      </c>
    </row>
    <row r="38" spans="1:47" ht="16" x14ac:dyDescent="0.2">
      <c r="A38" s="21">
        <v>5</v>
      </c>
      <c r="B38" s="29">
        <v>35</v>
      </c>
      <c r="C38" s="29" t="s">
        <v>45</v>
      </c>
      <c r="D38" s="41" t="s">
        <v>35</v>
      </c>
      <c r="E38" s="45" t="s">
        <v>133</v>
      </c>
      <c r="F38" s="45" t="s">
        <v>134</v>
      </c>
      <c r="G38" s="45">
        <v>94</v>
      </c>
      <c r="H38" s="45">
        <v>6</v>
      </c>
      <c r="I38" s="45">
        <f t="shared" si="0"/>
        <v>100</v>
      </c>
      <c r="J38" s="57" t="s">
        <v>111</v>
      </c>
      <c r="K38" s="80" t="s">
        <v>164</v>
      </c>
      <c r="L38" s="237" t="s">
        <v>422</v>
      </c>
      <c r="M38" s="67">
        <v>20</v>
      </c>
      <c r="N38" s="53" t="s">
        <v>458</v>
      </c>
      <c r="O38" s="59" t="s">
        <v>458</v>
      </c>
      <c r="P38" s="53">
        <v>0</v>
      </c>
      <c r="Q38" s="128" t="s">
        <v>458</v>
      </c>
      <c r="R38" s="45" t="s">
        <v>458</v>
      </c>
      <c r="S38" s="53">
        <v>0</v>
      </c>
      <c r="T38" s="67">
        <v>80</v>
      </c>
      <c r="U38" s="121" t="s">
        <v>458</v>
      </c>
      <c r="V38" s="121" t="s">
        <v>458</v>
      </c>
      <c r="W38" s="59" t="s">
        <v>458</v>
      </c>
      <c r="X38" s="73" t="s">
        <v>458</v>
      </c>
      <c r="Y38" s="73" t="s">
        <v>458</v>
      </c>
      <c r="Z38" s="73" t="s">
        <v>458</v>
      </c>
      <c r="AA38" s="59" t="s">
        <v>458</v>
      </c>
      <c r="AB38" s="73" t="s">
        <v>458</v>
      </c>
      <c r="AC38" s="59" t="s">
        <v>458</v>
      </c>
      <c r="AD38" s="73" t="s">
        <v>458</v>
      </c>
      <c r="AE38" s="73" t="s">
        <v>458</v>
      </c>
      <c r="AF38" s="73" t="s">
        <v>458</v>
      </c>
      <c r="AG38" s="289">
        <v>0.98099999999999998</v>
      </c>
      <c r="AH38" s="78" t="s">
        <v>109</v>
      </c>
      <c r="AI38" s="81" t="s">
        <v>458</v>
      </c>
      <c r="AJ38" s="41" t="s">
        <v>166</v>
      </c>
      <c r="AK38" s="53">
        <v>9</v>
      </c>
      <c r="AL38" s="197" t="s">
        <v>458</v>
      </c>
      <c r="AM38" s="197" t="s">
        <v>458</v>
      </c>
      <c r="AN38" s="53">
        <v>1.2999999999999999E-2</v>
      </c>
      <c r="AO38" s="63" t="s">
        <v>167</v>
      </c>
      <c r="AP38" s="85" t="s">
        <v>171</v>
      </c>
      <c r="AQ38" s="197" t="s">
        <v>458</v>
      </c>
      <c r="AR38" s="197" t="s">
        <v>458</v>
      </c>
      <c r="AS38" s="197" t="s">
        <v>458</v>
      </c>
      <c r="AT38" s="85" t="s">
        <v>205</v>
      </c>
      <c r="AU38" s="197" t="s">
        <v>458</v>
      </c>
    </row>
    <row r="39" spans="1:47" ht="16" x14ac:dyDescent="0.2">
      <c r="A39" s="21">
        <v>5</v>
      </c>
      <c r="B39" s="29">
        <v>36</v>
      </c>
      <c r="C39" s="29" t="s">
        <v>45</v>
      </c>
      <c r="D39" s="41" t="s">
        <v>36</v>
      </c>
      <c r="E39" s="45" t="s">
        <v>133</v>
      </c>
      <c r="F39" s="45" t="s">
        <v>134</v>
      </c>
      <c r="G39" s="45">
        <v>94</v>
      </c>
      <c r="H39" s="45">
        <v>6</v>
      </c>
      <c r="I39" s="45">
        <f t="shared" si="0"/>
        <v>100</v>
      </c>
      <c r="J39" s="57" t="s">
        <v>111</v>
      </c>
      <c r="K39" s="80" t="s">
        <v>164</v>
      </c>
      <c r="L39" s="237" t="s">
        <v>422</v>
      </c>
      <c r="M39" s="67">
        <v>30</v>
      </c>
      <c r="N39" s="53" t="s">
        <v>458</v>
      </c>
      <c r="O39" s="59" t="s">
        <v>458</v>
      </c>
      <c r="P39" s="53">
        <v>0</v>
      </c>
      <c r="Q39" s="128" t="s">
        <v>458</v>
      </c>
      <c r="R39" s="45" t="s">
        <v>458</v>
      </c>
      <c r="S39" s="53">
        <v>0</v>
      </c>
      <c r="T39" s="67">
        <v>70</v>
      </c>
      <c r="U39" s="121" t="s">
        <v>458</v>
      </c>
      <c r="V39" s="121" t="s">
        <v>458</v>
      </c>
      <c r="W39" s="59" t="s">
        <v>458</v>
      </c>
      <c r="X39" s="73" t="s">
        <v>458</v>
      </c>
      <c r="Y39" s="73" t="s">
        <v>458</v>
      </c>
      <c r="Z39" s="73" t="s">
        <v>458</v>
      </c>
      <c r="AA39" s="59" t="s">
        <v>458</v>
      </c>
      <c r="AB39" s="73" t="s">
        <v>458</v>
      </c>
      <c r="AC39" s="59" t="s">
        <v>458</v>
      </c>
      <c r="AD39" s="73" t="s">
        <v>458</v>
      </c>
      <c r="AE39" s="73" t="s">
        <v>458</v>
      </c>
      <c r="AF39" s="73" t="s">
        <v>458</v>
      </c>
      <c r="AG39" s="289">
        <v>1.2070000000000001</v>
      </c>
      <c r="AH39" s="78" t="s">
        <v>109</v>
      </c>
      <c r="AI39" s="81" t="s">
        <v>458</v>
      </c>
      <c r="AJ39" s="41" t="s">
        <v>166</v>
      </c>
      <c r="AK39" s="53">
        <v>9</v>
      </c>
      <c r="AL39" s="197" t="s">
        <v>458</v>
      </c>
      <c r="AM39" s="197" t="s">
        <v>458</v>
      </c>
      <c r="AN39" s="53">
        <v>1.4E-2</v>
      </c>
      <c r="AO39" s="63" t="s">
        <v>167</v>
      </c>
      <c r="AP39" s="85" t="s">
        <v>171</v>
      </c>
      <c r="AQ39" s="197" t="s">
        <v>458</v>
      </c>
      <c r="AR39" s="197" t="s">
        <v>458</v>
      </c>
      <c r="AS39" s="197" t="s">
        <v>458</v>
      </c>
      <c r="AT39" s="85" t="s">
        <v>205</v>
      </c>
      <c r="AU39" s="197" t="s">
        <v>458</v>
      </c>
    </row>
    <row r="40" spans="1:47" ht="16" x14ac:dyDescent="0.2">
      <c r="A40" s="21">
        <v>5</v>
      </c>
      <c r="B40" s="29">
        <v>37</v>
      </c>
      <c r="C40" s="29" t="s">
        <v>45</v>
      </c>
      <c r="D40" s="41" t="s">
        <v>37</v>
      </c>
      <c r="E40" s="45" t="s">
        <v>133</v>
      </c>
      <c r="F40" s="45" t="s">
        <v>134</v>
      </c>
      <c r="G40" s="45">
        <v>94</v>
      </c>
      <c r="H40" s="45">
        <v>6</v>
      </c>
      <c r="I40" s="45">
        <f t="shared" si="0"/>
        <v>100</v>
      </c>
      <c r="J40" s="57" t="s">
        <v>111</v>
      </c>
      <c r="K40" s="80" t="s">
        <v>164</v>
      </c>
      <c r="L40" s="237" t="s">
        <v>422</v>
      </c>
      <c r="M40" s="67">
        <v>40</v>
      </c>
      <c r="N40" s="53" t="s">
        <v>458</v>
      </c>
      <c r="O40" s="59" t="s">
        <v>458</v>
      </c>
      <c r="P40" s="53">
        <v>0</v>
      </c>
      <c r="Q40" s="128" t="s">
        <v>458</v>
      </c>
      <c r="R40" s="45" t="s">
        <v>458</v>
      </c>
      <c r="S40" s="53">
        <v>0</v>
      </c>
      <c r="T40" s="67">
        <v>60</v>
      </c>
      <c r="U40" s="121" t="s">
        <v>458</v>
      </c>
      <c r="V40" s="121" t="s">
        <v>458</v>
      </c>
      <c r="W40" s="59" t="s">
        <v>458</v>
      </c>
      <c r="X40" s="73" t="s">
        <v>458</v>
      </c>
      <c r="Y40" s="73" t="s">
        <v>458</v>
      </c>
      <c r="Z40" s="73" t="s">
        <v>458</v>
      </c>
      <c r="AA40" s="59" t="s">
        <v>458</v>
      </c>
      <c r="AB40" s="73" t="s">
        <v>458</v>
      </c>
      <c r="AC40" s="59" t="s">
        <v>458</v>
      </c>
      <c r="AD40" s="73" t="s">
        <v>458</v>
      </c>
      <c r="AE40" s="73" t="s">
        <v>458</v>
      </c>
      <c r="AF40" s="73" t="s">
        <v>458</v>
      </c>
      <c r="AG40" s="289">
        <v>1.2310000000000001</v>
      </c>
      <c r="AH40" s="78" t="s">
        <v>109</v>
      </c>
      <c r="AI40" s="81" t="s">
        <v>458</v>
      </c>
      <c r="AJ40" s="41" t="s">
        <v>166</v>
      </c>
      <c r="AK40" s="53">
        <v>9</v>
      </c>
      <c r="AL40" s="197" t="s">
        <v>458</v>
      </c>
      <c r="AM40" s="197" t="s">
        <v>458</v>
      </c>
      <c r="AN40" s="53">
        <v>1.4E-2</v>
      </c>
      <c r="AO40" s="63" t="s">
        <v>167</v>
      </c>
      <c r="AP40" s="85" t="s">
        <v>172</v>
      </c>
      <c r="AQ40" s="197" t="s">
        <v>458</v>
      </c>
      <c r="AR40" s="197" t="s">
        <v>458</v>
      </c>
      <c r="AS40" s="197" t="s">
        <v>458</v>
      </c>
      <c r="AT40" s="85" t="s">
        <v>205</v>
      </c>
      <c r="AU40" s="197" t="s">
        <v>458</v>
      </c>
    </row>
    <row r="41" spans="1:47" ht="16" x14ac:dyDescent="0.2">
      <c r="A41" s="21">
        <v>5</v>
      </c>
      <c r="B41" s="29">
        <v>38</v>
      </c>
      <c r="C41" s="29" t="s">
        <v>45</v>
      </c>
      <c r="D41" s="41" t="s">
        <v>38</v>
      </c>
      <c r="E41" s="45" t="s">
        <v>133</v>
      </c>
      <c r="F41" s="45" t="s">
        <v>134</v>
      </c>
      <c r="G41" s="45">
        <v>94</v>
      </c>
      <c r="H41" s="45">
        <v>6</v>
      </c>
      <c r="I41" s="45">
        <f t="shared" si="0"/>
        <v>100</v>
      </c>
      <c r="J41" s="57" t="s">
        <v>111</v>
      </c>
      <c r="K41" s="80" t="s">
        <v>164</v>
      </c>
      <c r="L41" s="237" t="s">
        <v>422</v>
      </c>
      <c r="M41" s="67">
        <v>50</v>
      </c>
      <c r="N41" s="53" t="s">
        <v>458</v>
      </c>
      <c r="O41" s="59" t="s">
        <v>458</v>
      </c>
      <c r="P41" s="53">
        <v>0</v>
      </c>
      <c r="Q41" s="128" t="s">
        <v>458</v>
      </c>
      <c r="R41" s="45" t="s">
        <v>458</v>
      </c>
      <c r="S41" s="53">
        <v>0</v>
      </c>
      <c r="T41" s="67">
        <v>50</v>
      </c>
      <c r="U41" s="121" t="s">
        <v>458</v>
      </c>
      <c r="V41" s="121" t="s">
        <v>458</v>
      </c>
      <c r="W41" s="59" t="s">
        <v>458</v>
      </c>
      <c r="X41" s="73" t="s">
        <v>458</v>
      </c>
      <c r="Y41" s="73" t="s">
        <v>458</v>
      </c>
      <c r="Z41" s="73" t="s">
        <v>458</v>
      </c>
      <c r="AA41" s="59" t="s">
        <v>458</v>
      </c>
      <c r="AB41" s="73" t="s">
        <v>458</v>
      </c>
      <c r="AC41" s="59" t="s">
        <v>458</v>
      </c>
      <c r="AD41" s="73" t="s">
        <v>458</v>
      </c>
      <c r="AE41" s="73" t="s">
        <v>458</v>
      </c>
      <c r="AF41" s="73" t="s">
        <v>458</v>
      </c>
      <c r="AG41" s="289">
        <v>1.1619999999999999</v>
      </c>
      <c r="AH41" s="78" t="s">
        <v>109</v>
      </c>
      <c r="AI41" s="81" t="s">
        <v>458</v>
      </c>
      <c r="AJ41" s="41" t="s">
        <v>166</v>
      </c>
      <c r="AK41" s="53">
        <v>9</v>
      </c>
      <c r="AL41" s="197" t="s">
        <v>458</v>
      </c>
      <c r="AM41" s="197" t="s">
        <v>458</v>
      </c>
      <c r="AN41" s="53">
        <v>1.4E-2</v>
      </c>
      <c r="AO41" s="63" t="s">
        <v>167</v>
      </c>
      <c r="AP41" s="85" t="s">
        <v>173</v>
      </c>
      <c r="AQ41" s="197" t="s">
        <v>458</v>
      </c>
      <c r="AR41" s="197" t="s">
        <v>458</v>
      </c>
      <c r="AS41" s="197" t="s">
        <v>458</v>
      </c>
      <c r="AT41" s="85" t="s">
        <v>197</v>
      </c>
      <c r="AU41" s="197" t="s">
        <v>458</v>
      </c>
    </row>
    <row r="42" spans="1:47" ht="16" x14ac:dyDescent="0.2">
      <c r="A42" s="21">
        <v>5</v>
      </c>
      <c r="B42" s="29">
        <v>39</v>
      </c>
      <c r="C42" s="29" t="s">
        <v>45</v>
      </c>
      <c r="D42" s="41" t="s">
        <v>39</v>
      </c>
      <c r="E42" s="45" t="s">
        <v>133</v>
      </c>
      <c r="F42" s="45" t="s">
        <v>134</v>
      </c>
      <c r="G42" s="45">
        <v>94</v>
      </c>
      <c r="H42" s="45">
        <v>6</v>
      </c>
      <c r="I42" s="45">
        <f t="shared" si="0"/>
        <v>100</v>
      </c>
      <c r="J42" s="57" t="s">
        <v>111</v>
      </c>
      <c r="K42" s="80" t="s">
        <v>164</v>
      </c>
      <c r="L42" s="237" t="s">
        <v>422</v>
      </c>
      <c r="M42" s="67">
        <v>60</v>
      </c>
      <c r="N42" s="53" t="s">
        <v>458</v>
      </c>
      <c r="O42" s="59" t="s">
        <v>458</v>
      </c>
      <c r="P42" s="53">
        <v>0</v>
      </c>
      <c r="Q42" s="128" t="s">
        <v>458</v>
      </c>
      <c r="R42" s="45" t="s">
        <v>458</v>
      </c>
      <c r="S42" s="53">
        <v>0</v>
      </c>
      <c r="T42" s="67">
        <v>40</v>
      </c>
      <c r="U42" s="121" t="s">
        <v>458</v>
      </c>
      <c r="V42" s="121" t="s">
        <v>458</v>
      </c>
      <c r="W42" s="59" t="s">
        <v>458</v>
      </c>
      <c r="X42" s="73" t="s">
        <v>458</v>
      </c>
      <c r="Y42" s="73" t="s">
        <v>458</v>
      </c>
      <c r="Z42" s="73" t="s">
        <v>458</v>
      </c>
      <c r="AA42" s="59" t="s">
        <v>458</v>
      </c>
      <c r="AB42" s="73" t="s">
        <v>458</v>
      </c>
      <c r="AC42" s="59" t="s">
        <v>458</v>
      </c>
      <c r="AD42" s="73" t="s">
        <v>458</v>
      </c>
      <c r="AE42" s="73" t="s">
        <v>458</v>
      </c>
      <c r="AF42" s="73" t="s">
        <v>458</v>
      </c>
      <c r="AG42" s="289">
        <v>1.2450000000000001</v>
      </c>
      <c r="AH42" s="78" t="s">
        <v>109</v>
      </c>
      <c r="AI42" s="81" t="s">
        <v>458</v>
      </c>
      <c r="AJ42" s="41" t="s">
        <v>166</v>
      </c>
      <c r="AK42" s="53">
        <v>9</v>
      </c>
      <c r="AL42" s="197" t="s">
        <v>458</v>
      </c>
      <c r="AM42" s="197" t="s">
        <v>458</v>
      </c>
      <c r="AN42" s="53">
        <v>1.4E-2</v>
      </c>
      <c r="AO42" s="63" t="s">
        <v>167</v>
      </c>
      <c r="AP42" s="85" t="s">
        <v>174</v>
      </c>
      <c r="AQ42" s="197" t="s">
        <v>458</v>
      </c>
      <c r="AR42" s="197" t="s">
        <v>458</v>
      </c>
      <c r="AS42" s="197" t="s">
        <v>458</v>
      </c>
      <c r="AT42" s="85" t="s">
        <v>200</v>
      </c>
      <c r="AU42" s="197" t="s">
        <v>458</v>
      </c>
    </row>
    <row r="43" spans="1:47" ht="16" x14ac:dyDescent="0.2">
      <c r="A43" s="21">
        <v>5</v>
      </c>
      <c r="B43" s="29">
        <v>40</v>
      </c>
      <c r="C43" s="29" t="s">
        <v>45</v>
      </c>
      <c r="D43" s="41" t="s">
        <v>40</v>
      </c>
      <c r="E43" s="45" t="s">
        <v>133</v>
      </c>
      <c r="F43" s="45" t="s">
        <v>134</v>
      </c>
      <c r="G43" s="45">
        <v>94</v>
      </c>
      <c r="H43" s="45">
        <v>6</v>
      </c>
      <c r="I43" s="45">
        <f t="shared" si="0"/>
        <v>100</v>
      </c>
      <c r="J43" s="57" t="s">
        <v>111</v>
      </c>
      <c r="K43" s="80" t="s">
        <v>164</v>
      </c>
      <c r="L43" s="237" t="s">
        <v>422</v>
      </c>
      <c r="M43" s="67">
        <v>70</v>
      </c>
      <c r="N43" s="53" t="s">
        <v>458</v>
      </c>
      <c r="O43" s="59" t="s">
        <v>458</v>
      </c>
      <c r="P43" s="53">
        <v>0</v>
      </c>
      <c r="Q43" s="128" t="s">
        <v>458</v>
      </c>
      <c r="R43" s="45" t="s">
        <v>458</v>
      </c>
      <c r="S43" s="53">
        <v>0</v>
      </c>
      <c r="T43" s="67">
        <v>30</v>
      </c>
      <c r="U43" s="121" t="s">
        <v>458</v>
      </c>
      <c r="V43" s="121" t="s">
        <v>458</v>
      </c>
      <c r="W43" s="59" t="s">
        <v>458</v>
      </c>
      <c r="X43" s="73" t="s">
        <v>458</v>
      </c>
      <c r="Y43" s="73" t="s">
        <v>458</v>
      </c>
      <c r="Z43" s="73" t="s">
        <v>458</v>
      </c>
      <c r="AA43" s="59" t="s">
        <v>458</v>
      </c>
      <c r="AB43" s="73" t="s">
        <v>458</v>
      </c>
      <c r="AC43" s="59" t="s">
        <v>458</v>
      </c>
      <c r="AD43" s="73" t="s">
        <v>458</v>
      </c>
      <c r="AE43" s="73" t="s">
        <v>458</v>
      </c>
      <c r="AF43" s="73" t="s">
        <v>458</v>
      </c>
      <c r="AG43" s="289">
        <v>1.212</v>
      </c>
      <c r="AH43" s="78" t="s">
        <v>109</v>
      </c>
      <c r="AI43" s="81" t="s">
        <v>458</v>
      </c>
      <c r="AJ43" s="41" t="s">
        <v>166</v>
      </c>
      <c r="AK43" s="53">
        <v>9</v>
      </c>
      <c r="AL43" s="197" t="s">
        <v>458</v>
      </c>
      <c r="AM43" s="197" t="s">
        <v>458</v>
      </c>
      <c r="AN43" s="53">
        <v>1.4E-2</v>
      </c>
      <c r="AO43" s="63" t="s">
        <v>167</v>
      </c>
      <c r="AP43" s="85" t="s">
        <v>175</v>
      </c>
      <c r="AQ43" s="197" t="s">
        <v>458</v>
      </c>
      <c r="AR43" s="197" t="s">
        <v>458</v>
      </c>
      <c r="AS43" s="197" t="s">
        <v>458</v>
      </c>
      <c r="AT43" s="85" t="s">
        <v>203</v>
      </c>
      <c r="AU43" s="197" t="s">
        <v>458</v>
      </c>
    </row>
    <row r="44" spans="1:47" ht="16" x14ac:dyDescent="0.2">
      <c r="A44" s="21">
        <v>5</v>
      </c>
      <c r="B44" s="29">
        <v>41</v>
      </c>
      <c r="C44" s="29" t="s">
        <v>162</v>
      </c>
      <c r="D44" s="41" t="s">
        <v>33</v>
      </c>
      <c r="E44" s="45" t="s">
        <v>133</v>
      </c>
      <c r="F44" s="45" t="s">
        <v>134</v>
      </c>
      <c r="G44" s="45">
        <v>94</v>
      </c>
      <c r="H44" s="45">
        <v>6</v>
      </c>
      <c r="I44" s="45">
        <f t="shared" si="0"/>
        <v>100</v>
      </c>
      <c r="J44" s="63" t="s">
        <v>108</v>
      </c>
      <c r="K44" s="80" t="s">
        <v>458</v>
      </c>
      <c r="L44" s="230" t="s">
        <v>458</v>
      </c>
      <c r="M44" s="53">
        <v>0</v>
      </c>
      <c r="N44" s="53" t="s">
        <v>458</v>
      </c>
      <c r="O44" s="59" t="s">
        <v>458</v>
      </c>
      <c r="P44" s="53">
        <v>0</v>
      </c>
      <c r="Q44" s="128" t="s">
        <v>458</v>
      </c>
      <c r="R44" s="45" t="s">
        <v>458</v>
      </c>
      <c r="S44" s="53">
        <v>0</v>
      </c>
      <c r="T44" s="53">
        <v>100</v>
      </c>
      <c r="U44" s="121" t="s">
        <v>458</v>
      </c>
      <c r="V44" s="121" t="s">
        <v>458</v>
      </c>
      <c r="W44" s="59" t="s">
        <v>458</v>
      </c>
      <c r="X44" s="73" t="s">
        <v>458</v>
      </c>
      <c r="Y44" s="73" t="s">
        <v>458</v>
      </c>
      <c r="Z44" s="73" t="s">
        <v>458</v>
      </c>
      <c r="AA44" s="59" t="s">
        <v>458</v>
      </c>
      <c r="AB44" s="73" t="s">
        <v>458</v>
      </c>
      <c r="AC44" s="59" t="s">
        <v>458</v>
      </c>
      <c r="AD44" s="73" t="s">
        <v>458</v>
      </c>
      <c r="AE44" s="73" t="s">
        <v>458</v>
      </c>
      <c r="AF44" s="73" t="s">
        <v>458</v>
      </c>
      <c r="AG44" s="289">
        <v>0.97399999999999998</v>
      </c>
      <c r="AH44" s="78" t="s">
        <v>109</v>
      </c>
      <c r="AI44" s="81" t="s">
        <v>458</v>
      </c>
      <c r="AJ44" s="41" t="s">
        <v>166</v>
      </c>
      <c r="AK44" s="53">
        <v>9</v>
      </c>
      <c r="AL44" s="197" t="s">
        <v>458</v>
      </c>
      <c r="AM44" s="197" t="s">
        <v>458</v>
      </c>
      <c r="AN44" s="63" t="s">
        <v>458</v>
      </c>
      <c r="AO44" s="63" t="s">
        <v>167</v>
      </c>
      <c r="AP44" s="85" t="s">
        <v>170</v>
      </c>
      <c r="AQ44" s="197" t="s">
        <v>458</v>
      </c>
      <c r="AR44" s="197" t="s">
        <v>458</v>
      </c>
      <c r="AS44" s="197" t="s">
        <v>458</v>
      </c>
      <c r="AT44" s="85" t="s">
        <v>169</v>
      </c>
      <c r="AU44" s="197" t="s">
        <v>458</v>
      </c>
    </row>
    <row r="45" spans="1:47" ht="16" x14ac:dyDescent="0.2">
      <c r="A45" s="21">
        <v>5</v>
      </c>
      <c r="B45" s="29">
        <v>42</v>
      </c>
      <c r="C45" s="29" t="s">
        <v>46</v>
      </c>
      <c r="D45" s="207" t="s">
        <v>34</v>
      </c>
      <c r="E45" s="45" t="s">
        <v>133</v>
      </c>
      <c r="F45" s="45" t="s">
        <v>134</v>
      </c>
      <c r="G45" s="45">
        <v>94</v>
      </c>
      <c r="H45" s="45">
        <v>6</v>
      </c>
      <c r="I45" s="45">
        <f t="shared" si="0"/>
        <v>100</v>
      </c>
      <c r="J45" s="57" t="s">
        <v>111</v>
      </c>
      <c r="K45" s="80" t="s">
        <v>165</v>
      </c>
      <c r="L45" s="237" t="s">
        <v>422</v>
      </c>
      <c r="M45" s="67">
        <v>10</v>
      </c>
      <c r="N45" s="53" t="s">
        <v>458</v>
      </c>
      <c r="O45" s="59" t="s">
        <v>458</v>
      </c>
      <c r="P45" s="53">
        <v>0</v>
      </c>
      <c r="Q45" s="128" t="s">
        <v>458</v>
      </c>
      <c r="R45" s="45" t="s">
        <v>458</v>
      </c>
      <c r="S45" s="53">
        <v>0</v>
      </c>
      <c r="T45" s="67">
        <v>90</v>
      </c>
      <c r="U45" s="121" t="s">
        <v>458</v>
      </c>
      <c r="V45" s="121" t="s">
        <v>458</v>
      </c>
      <c r="W45" s="59" t="s">
        <v>458</v>
      </c>
      <c r="X45" s="73" t="s">
        <v>458</v>
      </c>
      <c r="Y45" s="73" t="s">
        <v>458</v>
      </c>
      <c r="Z45" s="73" t="s">
        <v>458</v>
      </c>
      <c r="AA45" s="59" t="s">
        <v>458</v>
      </c>
      <c r="AB45" s="73" t="s">
        <v>458</v>
      </c>
      <c r="AC45" s="59" t="s">
        <v>458</v>
      </c>
      <c r="AD45" s="73" t="s">
        <v>458</v>
      </c>
      <c r="AE45" s="73" t="s">
        <v>458</v>
      </c>
      <c r="AF45" s="73" t="s">
        <v>458</v>
      </c>
      <c r="AG45" s="289">
        <v>0.98099999999999998</v>
      </c>
      <c r="AH45" s="78" t="s">
        <v>109</v>
      </c>
      <c r="AI45" s="81" t="s">
        <v>458</v>
      </c>
      <c r="AJ45" s="41" t="s">
        <v>166</v>
      </c>
      <c r="AK45" s="53">
        <v>9</v>
      </c>
      <c r="AL45" s="197" t="s">
        <v>458</v>
      </c>
      <c r="AM45" s="197" t="s">
        <v>458</v>
      </c>
      <c r="AN45" s="53">
        <v>1.7000000000000001E-2</v>
      </c>
      <c r="AO45" s="63" t="s">
        <v>167</v>
      </c>
      <c r="AP45" s="85" t="s">
        <v>176</v>
      </c>
      <c r="AQ45" s="197" t="s">
        <v>458</v>
      </c>
      <c r="AR45" s="197" t="s">
        <v>458</v>
      </c>
      <c r="AS45" s="197" t="s">
        <v>458</v>
      </c>
      <c r="AT45" s="85" t="s">
        <v>190</v>
      </c>
      <c r="AU45" s="197" t="s">
        <v>458</v>
      </c>
    </row>
    <row r="46" spans="1:47" ht="16" x14ac:dyDescent="0.2">
      <c r="A46" s="21">
        <v>5</v>
      </c>
      <c r="B46" s="29">
        <v>43</v>
      </c>
      <c r="C46" s="29" t="s">
        <v>46</v>
      </c>
      <c r="D46" s="41" t="s">
        <v>35</v>
      </c>
      <c r="E46" s="45" t="s">
        <v>133</v>
      </c>
      <c r="F46" s="45" t="s">
        <v>134</v>
      </c>
      <c r="G46" s="45">
        <v>94</v>
      </c>
      <c r="H46" s="45">
        <v>6</v>
      </c>
      <c r="I46" s="45">
        <f t="shared" si="0"/>
        <v>100</v>
      </c>
      <c r="J46" s="57" t="s">
        <v>111</v>
      </c>
      <c r="K46" s="80" t="s">
        <v>165</v>
      </c>
      <c r="L46" s="237" t="s">
        <v>422</v>
      </c>
      <c r="M46" s="67">
        <v>20</v>
      </c>
      <c r="N46" s="53" t="s">
        <v>458</v>
      </c>
      <c r="O46" s="59" t="s">
        <v>458</v>
      </c>
      <c r="P46" s="53">
        <v>0</v>
      </c>
      <c r="Q46" s="128" t="s">
        <v>458</v>
      </c>
      <c r="R46" s="45" t="s">
        <v>458</v>
      </c>
      <c r="S46" s="53">
        <v>0</v>
      </c>
      <c r="T46" s="67">
        <v>80</v>
      </c>
      <c r="U46" s="121" t="s">
        <v>458</v>
      </c>
      <c r="V46" s="121" t="s">
        <v>458</v>
      </c>
      <c r="W46" s="59" t="s">
        <v>458</v>
      </c>
      <c r="X46" s="73" t="s">
        <v>458</v>
      </c>
      <c r="Y46" s="73" t="s">
        <v>458</v>
      </c>
      <c r="Z46" s="73" t="s">
        <v>458</v>
      </c>
      <c r="AA46" s="59" t="s">
        <v>458</v>
      </c>
      <c r="AB46" s="73" t="s">
        <v>458</v>
      </c>
      <c r="AC46" s="59" t="s">
        <v>458</v>
      </c>
      <c r="AD46" s="73" t="s">
        <v>458</v>
      </c>
      <c r="AE46" s="73" t="s">
        <v>458</v>
      </c>
      <c r="AF46" s="73" t="s">
        <v>458</v>
      </c>
      <c r="AG46" s="289">
        <v>1.121</v>
      </c>
      <c r="AH46" s="78" t="s">
        <v>109</v>
      </c>
      <c r="AI46" s="81" t="s">
        <v>458</v>
      </c>
      <c r="AJ46" s="41" t="s">
        <v>166</v>
      </c>
      <c r="AK46" s="53">
        <v>9</v>
      </c>
      <c r="AL46" s="197" t="s">
        <v>458</v>
      </c>
      <c r="AM46" s="197" t="s">
        <v>458</v>
      </c>
      <c r="AN46" s="53">
        <v>1.9E-2</v>
      </c>
      <c r="AO46" s="63" t="s">
        <v>167</v>
      </c>
      <c r="AP46" s="85" t="s">
        <v>177</v>
      </c>
      <c r="AQ46" s="197" t="s">
        <v>458</v>
      </c>
      <c r="AR46" s="197" t="s">
        <v>458</v>
      </c>
      <c r="AS46" s="197" t="s">
        <v>458</v>
      </c>
      <c r="AT46" s="85" t="s">
        <v>191</v>
      </c>
      <c r="AU46" s="197" t="s">
        <v>458</v>
      </c>
    </row>
    <row r="47" spans="1:47" ht="16" x14ac:dyDescent="0.2">
      <c r="A47" s="21">
        <v>5</v>
      </c>
      <c r="B47" s="29">
        <v>44</v>
      </c>
      <c r="C47" s="29" t="s">
        <v>46</v>
      </c>
      <c r="D47" s="41" t="s">
        <v>36</v>
      </c>
      <c r="E47" s="45" t="s">
        <v>133</v>
      </c>
      <c r="F47" s="45" t="s">
        <v>134</v>
      </c>
      <c r="G47" s="45">
        <v>94</v>
      </c>
      <c r="H47" s="45">
        <v>6</v>
      </c>
      <c r="I47" s="45">
        <f t="shared" si="0"/>
        <v>100</v>
      </c>
      <c r="J47" s="57" t="s">
        <v>111</v>
      </c>
      <c r="K47" s="80" t="s">
        <v>165</v>
      </c>
      <c r="L47" s="237" t="s">
        <v>422</v>
      </c>
      <c r="M47" s="67">
        <v>30</v>
      </c>
      <c r="N47" s="53" t="s">
        <v>458</v>
      </c>
      <c r="O47" s="59" t="s">
        <v>458</v>
      </c>
      <c r="P47" s="53">
        <v>0</v>
      </c>
      <c r="Q47" s="128" t="s">
        <v>458</v>
      </c>
      <c r="R47" s="45" t="s">
        <v>458</v>
      </c>
      <c r="S47" s="53">
        <v>0</v>
      </c>
      <c r="T47" s="67">
        <v>70</v>
      </c>
      <c r="U47" s="121" t="s">
        <v>458</v>
      </c>
      <c r="V47" s="121" t="s">
        <v>458</v>
      </c>
      <c r="W47" s="59" t="s">
        <v>458</v>
      </c>
      <c r="X47" s="73" t="s">
        <v>458</v>
      </c>
      <c r="Y47" s="73" t="s">
        <v>458</v>
      </c>
      <c r="Z47" s="73" t="s">
        <v>458</v>
      </c>
      <c r="AA47" s="59" t="s">
        <v>458</v>
      </c>
      <c r="AB47" s="73" t="s">
        <v>458</v>
      </c>
      <c r="AC47" s="59" t="s">
        <v>458</v>
      </c>
      <c r="AD47" s="73" t="s">
        <v>458</v>
      </c>
      <c r="AE47" s="73" t="s">
        <v>458</v>
      </c>
      <c r="AF47" s="73" t="s">
        <v>458</v>
      </c>
      <c r="AG47" s="289">
        <v>1.08</v>
      </c>
      <c r="AH47" s="78" t="s">
        <v>109</v>
      </c>
      <c r="AI47" s="81" t="s">
        <v>458</v>
      </c>
      <c r="AJ47" s="41" t="s">
        <v>166</v>
      </c>
      <c r="AK47" s="53">
        <v>9</v>
      </c>
      <c r="AL47" s="197" t="s">
        <v>458</v>
      </c>
      <c r="AM47" s="197" t="s">
        <v>458</v>
      </c>
      <c r="AN47" s="53">
        <v>2.3E-2</v>
      </c>
      <c r="AO47" s="63" t="s">
        <v>167</v>
      </c>
      <c r="AP47" s="85" t="s">
        <v>178</v>
      </c>
      <c r="AQ47" s="197" t="s">
        <v>458</v>
      </c>
      <c r="AR47" s="197" t="s">
        <v>458</v>
      </c>
      <c r="AS47" s="197" t="s">
        <v>458</v>
      </c>
      <c r="AT47" s="85" t="s">
        <v>193</v>
      </c>
      <c r="AU47" s="197" t="s">
        <v>458</v>
      </c>
    </row>
    <row r="48" spans="1:47" ht="16" x14ac:dyDescent="0.2">
      <c r="A48" s="21">
        <v>5</v>
      </c>
      <c r="B48" s="29">
        <v>45</v>
      </c>
      <c r="C48" s="29" t="s">
        <v>46</v>
      </c>
      <c r="D48" s="41" t="s">
        <v>37</v>
      </c>
      <c r="E48" s="45" t="s">
        <v>133</v>
      </c>
      <c r="F48" s="45" t="s">
        <v>134</v>
      </c>
      <c r="G48" s="45">
        <v>94</v>
      </c>
      <c r="H48" s="45">
        <v>6</v>
      </c>
      <c r="I48" s="45">
        <f t="shared" si="0"/>
        <v>100</v>
      </c>
      <c r="J48" s="57" t="s">
        <v>111</v>
      </c>
      <c r="K48" s="80" t="s">
        <v>165</v>
      </c>
      <c r="L48" s="237" t="s">
        <v>422</v>
      </c>
      <c r="M48" s="67">
        <v>40</v>
      </c>
      <c r="N48" s="53" t="s">
        <v>458</v>
      </c>
      <c r="O48" s="59" t="s">
        <v>458</v>
      </c>
      <c r="P48" s="53">
        <v>0</v>
      </c>
      <c r="Q48" s="128" t="s">
        <v>458</v>
      </c>
      <c r="R48" s="45" t="s">
        <v>458</v>
      </c>
      <c r="S48" s="53">
        <v>0</v>
      </c>
      <c r="T48" s="67">
        <v>60</v>
      </c>
      <c r="U48" s="121" t="s">
        <v>458</v>
      </c>
      <c r="V48" s="121" t="s">
        <v>458</v>
      </c>
      <c r="W48" s="59" t="s">
        <v>458</v>
      </c>
      <c r="X48" s="73" t="s">
        <v>458</v>
      </c>
      <c r="Y48" s="73" t="s">
        <v>458</v>
      </c>
      <c r="Z48" s="73" t="s">
        <v>458</v>
      </c>
      <c r="AA48" s="59" t="s">
        <v>458</v>
      </c>
      <c r="AB48" s="73" t="s">
        <v>458</v>
      </c>
      <c r="AC48" s="59" t="s">
        <v>458</v>
      </c>
      <c r="AD48" s="73" t="s">
        <v>458</v>
      </c>
      <c r="AE48" s="73" t="s">
        <v>458</v>
      </c>
      <c r="AF48" s="73" t="s">
        <v>458</v>
      </c>
      <c r="AG48" s="289">
        <v>1.032</v>
      </c>
      <c r="AH48" s="78" t="s">
        <v>109</v>
      </c>
      <c r="AI48" s="81" t="s">
        <v>458</v>
      </c>
      <c r="AJ48" s="41" t="s">
        <v>166</v>
      </c>
      <c r="AK48" s="53">
        <v>9</v>
      </c>
      <c r="AL48" s="197" t="s">
        <v>458</v>
      </c>
      <c r="AM48" s="197" t="s">
        <v>458</v>
      </c>
      <c r="AN48" s="53">
        <v>2.3E-2</v>
      </c>
      <c r="AO48" s="63" t="s">
        <v>167</v>
      </c>
      <c r="AP48" s="85" t="s">
        <v>179</v>
      </c>
      <c r="AQ48" s="197" t="s">
        <v>458</v>
      </c>
      <c r="AR48" s="197" t="s">
        <v>458</v>
      </c>
      <c r="AS48" s="197" t="s">
        <v>458</v>
      </c>
      <c r="AT48" s="85" t="s">
        <v>195</v>
      </c>
      <c r="AU48" s="197" t="s">
        <v>458</v>
      </c>
    </row>
    <row r="49" spans="1:47" ht="16" x14ac:dyDescent="0.2">
      <c r="A49" s="21">
        <v>5</v>
      </c>
      <c r="B49" s="29">
        <v>46</v>
      </c>
      <c r="C49" s="29" t="s">
        <v>46</v>
      </c>
      <c r="D49" s="41" t="s">
        <v>38</v>
      </c>
      <c r="E49" s="45" t="s">
        <v>133</v>
      </c>
      <c r="F49" s="45" t="s">
        <v>134</v>
      </c>
      <c r="G49" s="45">
        <v>94</v>
      </c>
      <c r="H49" s="45">
        <v>6</v>
      </c>
      <c r="I49" s="45">
        <f t="shared" si="0"/>
        <v>100</v>
      </c>
      <c r="J49" s="57" t="s">
        <v>111</v>
      </c>
      <c r="K49" s="80" t="s">
        <v>165</v>
      </c>
      <c r="L49" s="237" t="s">
        <v>422</v>
      </c>
      <c r="M49" s="67">
        <v>50</v>
      </c>
      <c r="N49" s="53" t="s">
        <v>458</v>
      </c>
      <c r="O49" s="59" t="s">
        <v>458</v>
      </c>
      <c r="P49" s="53">
        <v>0</v>
      </c>
      <c r="Q49" s="128" t="s">
        <v>458</v>
      </c>
      <c r="R49" s="45" t="s">
        <v>458</v>
      </c>
      <c r="S49" s="53">
        <v>0</v>
      </c>
      <c r="T49" s="67">
        <v>50</v>
      </c>
      <c r="U49" s="121" t="s">
        <v>458</v>
      </c>
      <c r="V49" s="121" t="s">
        <v>458</v>
      </c>
      <c r="W49" s="59" t="s">
        <v>458</v>
      </c>
      <c r="X49" s="73" t="s">
        <v>458</v>
      </c>
      <c r="Y49" s="73" t="s">
        <v>458</v>
      </c>
      <c r="Z49" s="73" t="s">
        <v>458</v>
      </c>
      <c r="AA49" s="59" t="s">
        <v>458</v>
      </c>
      <c r="AB49" s="73" t="s">
        <v>458</v>
      </c>
      <c r="AC49" s="59" t="s">
        <v>458</v>
      </c>
      <c r="AD49" s="73" t="s">
        <v>458</v>
      </c>
      <c r="AE49" s="73" t="s">
        <v>458</v>
      </c>
      <c r="AF49" s="73" t="s">
        <v>458</v>
      </c>
      <c r="AG49" s="289">
        <v>1.046</v>
      </c>
      <c r="AH49" s="78" t="s">
        <v>109</v>
      </c>
      <c r="AI49" s="81" t="s">
        <v>458</v>
      </c>
      <c r="AJ49" s="41" t="s">
        <v>166</v>
      </c>
      <c r="AK49" s="53">
        <v>9</v>
      </c>
      <c r="AL49" s="197" t="s">
        <v>458</v>
      </c>
      <c r="AM49" s="197" t="s">
        <v>458</v>
      </c>
      <c r="AN49" s="53">
        <v>2.3E-2</v>
      </c>
      <c r="AO49" s="63" t="s">
        <v>167</v>
      </c>
      <c r="AP49" s="85" t="s">
        <v>180</v>
      </c>
      <c r="AQ49" s="197" t="s">
        <v>458</v>
      </c>
      <c r="AR49" s="197" t="s">
        <v>458</v>
      </c>
      <c r="AS49" s="197" t="s">
        <v>458</v>
      </c>
      <c r="AT49" s="85" t="s">
        <v>198</v>
      </c>
      <c r="AU49" s="197" t="s">
        <v>458</v>
      </c>
    </row>
    <row r="50" spans="1:47" ht="16" x14ac:dyDescent="0.2">
      <c r="A50" s="21">
        <v>5</v>
      </c>
      <c r="B50" s="29">
        <v>47</v>
      </c>
      <c r="C50" s="29" t="s">
        <v>46</v>
      </c>
      <c r="D50" s="41" t="s">
        <v>39</v>
      </c>
      <c r="E50" s="45" t="s">
        <v>133</v>
      </c>
      <c r="F50" s="45" t="s">
        <v>134</v>
      </c>
      <c r="G50" s="45">
        <v>94</v>
      </c>
      <c r="H50" s="45">
        <v>6</v>
      </c>
      <c r="I50" s="45">
        <f t="shared" si="0"/>
        <v>100</v>
      </c>
      <c r="J50" s="57" t="s">
        <v>111</v>
      </c>
      <c r="K50" s="80" t="s">
        <v>165</v>
      </c>
      <c r="L50" s="237" t="s">
        <v>422</v>
      </c>
      <c r="M50" s="67">
        <v>60</v>
      </c>
      <c r="N50" s="53" t="s">
        <v>458</v>
      </c>
      <c r="O50" s="59" t="s">
        <v>458</v>
      </c>
      <c r="P50" s="53">
        <v>0</v>
      </c>
      <c r="Q50" s="128" t="s">
        <v>458</v>
      </c>
      <c r="R50" s="45" t="s">
        <v>458</v>
      </c>
      <c r="S50" s="53">
        <v>0</v>
      </c>
      <c r="T50" s="67">
        <v>40</v>
      </c>
      <c r="U50" s="121" t="s">
        <v>458</v>
      </c>
      <c r="V50" s="121" t="s">
        <v>458</v>
      </c>
      <c r="W50" s="59" t="s">
        <v>458</v>
      </c>
      <c r="X50" s="73" t="s">
        <v>458</v>
      </c>
      <c r="Y50" s="73" t="s">
        <v>458</v>
      </c>
      <c r="Z50" s="73" t="s">
        <v>458</v>
      </c>
      <c r="AA50" s="59" t="s">
        <v>458</v>
      </c>
      <c r="AB50" s="73" t="s">
        <v>458</v>
      </c>
      <c r="AC50" s="59" t="s">
        <v>458</v>
      </c>
      <c r="AD50" s="73" t="s">
        <v>458</v>
      </c>
      <c r="AE50" s="73" t="s">
        <v>458</v>
      </c>
      <c r="AF50" s="73" t="s">
        <v>458</v>
      </c>
      <c r="AG50" s="289">
        <v>1.1279999999999999</v>
      </c>
      <c r="AH50" s="78" t="s">
        <v>109</v>
      </c>
      <c r="AI50" s="81" t="s">
        <v>458</v>
      </c>
      <c r="AJ50" s="41" t="s">
        <v>166</v>
      </c>
      <c r="AK50" s="53">
        <v>9</v>
      </c>
      <c r="AL50" s="197" t="s">
        <v>458</v>
      </c>
      <c r="AM50" s="197" t="s">
        <v>458</v>
      </c>
      <c r="AN50" s="53">
        <v>2.3E-2</v>
      </c>
      <c r="AO50" s="63" t="s">
        <v>167</v>
      </c>
      <c r="AP50" s="85" t="s">
        <v>181</v>
      </c>
      <c r="AQ50" s="197" t="s">
        <v>458</v>
      </c>
      <c r="AR50" s="197" t="s">
        <v>458</v>
      </c>
      <c r="AS50" s="197" t="s">
        <v>458</v>
      </c>
      <c r="AT50" s="85" t="s">
        <v>201</v>
      </c>
      <c r="AU50" s="197" t="s">
        <v>458</v>
      </c>
    </row>
    <row r="51" spans="1:47" s="18" customFormat="1" ht="16" x14ac:dyDescent="0.2">
      <c r="A51" s="23">
        <v>5</v>
      </c>
      <c r="B51" s="30">
        <v>48</v>
      </c>
      <c r="C51" s="30" t="s">
        <v>46</v>
      </c>
      <c r="D51" s="43" t="s">
        <v>40</v>
      </c>
      <c r="E51" s="46" t="s">
        <v>133</v>
      </c>
      <c r="F51" s="46" t="s">
        <v>134</v>
      </c>
      <c r="G51" s="46">
        <v>94</v>
      </c>
      <c r="H51" s="46">
        <v>6</v>
      </c>
      <c r="I51" s="45">
        <f t="shared" si="0"/>
        <v>100</v>
      </c>
      <c r="J51" s="58" t="s">
        <v>111</v>
      </c>
      <c r="K51" s="253" t="s">
        <v>165</v>
      </c>
      <c r="L51" s="238" t="s">
        <v>422</v>
      </c>
      <c r="M51" s="68">
        <v>70</v>
      </c>
      <c r="N51" s="54" t="s">
        <v>458</v>
      </c>
      <c r="O51" s="60" t="s">
        <v>458</v>
      </c>
      <c r="P51" s="54">
        <v>0</v>
      </c>
      <c r="Q51" s="159" t="s">
        <v>458</v>
      </c>
      <c r="R51" s="46" t="s">
        <v>458</v>
      </c>
      <c r="S51" s="54">
        <v>0</v>
      </c>
      <c r="T51" s="68">
        <v>30</v>
      </c>
      <c r="U51" s="125" t="s">
        <v>458</v>
      </c>
      <c r="V51" s="125" t="s">
        <v>458</v>
      </c>
      <c r="W51" s="60" t="s">
        <v>458</v>
      </c>
      <c r="X51" s="74" t="s">
        <v>458</v>
      </c>
      <c r="Y51" s="74" t="s">
        <v>458</v>
      </c>
      <c r="Z51" s="74" t="s">
        <v>458</v>
      </c>
      <c r="AA51" s="60" t="s">
        <v>458</v>
      </c>
      <c r="AB51" s="74" t="s">
        <v>458</v>
      </c>
      <c r="AC51" s="60" t="s">
        <v>458</v>
      </c>
      <c r="AD51" s="74" t="s">
        <v>458</v>
      </c>
      <c r="AE51" s="74" t="s">
        <v>458</v>
      </c>
      <c r="AF51" s="74" t="s">
        <v>458</v>
      </c>
      <c r="AG51" s="290">
        <v>1.0529999999999999</v>
      </c>
      <c r="AH51" s="79" t="s">
        <v>109</v>
      </c>
      <c r="AI51" s="89" t="s">
        <v>458</v>
      </c>
      <c r="AJ51" s="43" t="s">
        <v>166</v>
      </c>
      <c r="AK51" s="54">
        <v>9</v>
      </c>
      <c r="AL51" s="198" t="s">
        <v>458</v>
      </c>
      <c r="AM51" s="198" t="s">
        <v>458</v>
      </c>
      <c r="AN51" s="54">
        <v>2.3E-2</v>
      </c>
      <c r="AO51" s="64" t="s">
        <v>167</v>
      </c>
      <c r="AP51" s="86" t="s">
        <v>182</v>
      </c>
      <c r="AQ51" s="198" t="s">
        <v>458</v>
      </c>
      <c r="AR51" s="198" t="s">
        <v>458</v>
      </c>
      <c r="AS51" s="198" t="s">
        <v>458</v>
      </c>
      <c r="AT51" s="86" t="s">
        <v>204</v>
      </c>
      <c r="AU51" s="198" t="s">
        <v>458</v>
      </c>
    </row>
    <row r="52" spans="1:47" ht="16" x14ac:dyDescent="0.2">
      <c r="A52" s="21">
        <v>6</v>
      </c>
      <c r="B52" s="29">
        <v>5</v>
      </c>
      <c r="C52" s="29" t="s">
        <v>49</v>
      </c>
      <c r="D52" s="41" t="s">
        <v>33</v>
      </c>
      <c r="E52" s="45" t="s">
        <v>133</v>
      </c>
      <c r="F52" s="45" t="s">
        <v>134</v>
      </c>
      <c r="G52" s="45">
        <v>99</v>
      </c>
      <c r="H52" s="45">
        <v>1</v>
      </c>
      <c r="I52" s="45">
        <f t="shared" si="0"/>
        <v>100</v>
      </c>
      <c r="J52" s="75" t="s">
        <v>108</v>
      </c>
      <c r="K52" s="81" t="s">
        <v>458</v>
      </c>
      <c r="L52" s="230" t="s">
        <v>458</v>
      </c>
      <c r="M52" s="53">
        <v>0</v>
      </c>
      <c r="N52" s="53" t="s">
        <v>458</v>
      </c>
      <c r="O52" s="59" t="s">
        <v>458</v>
      </c>
      <c r="P52" s="53">
        <v>0</v>
      </c>
      <c r="Q52" s="128" t="s">
        <v>458</v>
      </c>
      <c r="R52" s="45" t="s">
        <v>458</v>
      </c>
      <c r="S52" s="53">
        <v>0</v>
      </c>
      <c r="T52" s="53">
        <v>100</v>
      </c>
      <c r="U52" s="121" t="s">
        <v>458</v>
      </c>
      <c r="V52" s="121" t="s">
        <v>458</v>
      </c>
      <c r="W52" s="59">
        <v>628.36257000000001</v>
      </c>
      <c r="X52" s="59">
        <v>0</v>
      </c>
      <c r="Y52" s="73" t="s">
        <v>458</v>
      </c>
      <c r="Z52" s="73" t="s">
        <v>458</v>
      </c>
      <c r="AA52" s="59">
        <v>249.0566</v>
      </c>
      <c r="AB52" s="59">
        <v>0</v>
      </c>
      <c r="AC52" s="59">
        <v>2.5588199999999999</v>
      </c>
      <c r="AD52" s="59">
        <v>0</v>
      </c>
      <c r="AE52" s="52">
        <v>0</v>
      </c>
      <c r="AF52" s="59">
        <v>0</v>
      </c>
      <c r="AG52" s="291" t="s">
        <v>458</v>
      </c>
      <c r="AH52" s="81" t="s">
        <v>458</v>
      </c>
      <c r="AI52" s="81" t="s">
        <v>458</v>
      </c>
      <c r="AJ52" s="308" t="s">
        <v>454</v>
      </c>
      <c r="AK52" s="197" t="s">
        <v>458</v>
      </c>
      <c r="AL52" s="53">
        <v>70</v>
      </c>
      <c r="AM52" s="53">
        <v>15</v>
      </c>
      <c r="AN52" s="53">
        <v>1.6</v>
      </c>
      <c r="AO52" s="93" t="s">
        <v>110</v>
      </c>
      <c r="AP52" s="73" t="s">
        <v>458</v>
      </c>
      <c r="AQ52" s="197" t="s">
        <v>458</v>
      </c>
      <c r="AR52" s="197" t="s">
        <v>458</v>
      </c>
      <c r="AS52" s="197" t="s">
        <v>458</v>
      </c>
      <c r="AT52" s="73" t="s">
        <v>458</v>
      </c>
      <c r="AU52" s="197" t="s">
        <v>458</v>
      </c>
    </row>
    <row r="53" spans="1:47" ht="16" x14ac:dyDescent="0.2">
      <c r="A53" s="21">
        <v>6</v>
      </c>
      <c r="B53" s="29">
        <v>5</v>
      </c>
      <c r="C53" s="29" t="s">
        <v>49</v>
      </c>
      <c r="D53" s="41" t="s">
        <v>33</v>
      </c>
      <c r="E53" s="45" t="s">
        <v>133</v>
      </c>
      <c r="F53" s="45" t="s">
        <v>134</v>
      </c>
      <c r="G53" s="45">
        <v>99</v>
      </c>
      <c r="H53" s="45">
        <v>1</v>
      </c>
      <c r="I53" s="45">
        <f t="shared" si="0"/>
        <v>100</v>
      </c>
      <c r="J53" s="75" t="s">
        <v>108</v>
      </c>
      <c r="K53" s="81" t="s">
        <v>458</v>
      </c>
      <c r="L53" s="230" t="s">
        <v>458</v>
      </c>
      <c r="M53" s="53">
        <v>0</v>
      </c>
      <c r="N53" s="53" t="s">
        <v>458</v>
      </c>
      <c r="O53" s="59" t="s">
        <v>458</v>
      </c>
      <c r="P53" s="53">
        <v>0</v>
      </c>
      <c r="Q53" s="128" t="s">
        <v>458</v>
      </c>
      <c r="R53" s="45" t="s">
        <v>458</v>
      </c>
      <c r="S53" s="53">
        <v>0</v>
      </c>
      <c r="T53" s="53">
        <v>100</v>
      </c>
      <c r="U53" s="121" t="s">
        <v>458</v>
      </c>
      <c r="V53" s="121" t="s">
        <v>458</v>
      </c>
      <c r="W53" s="59">
        <v>551.60819000000004</v>
      </c>
      <c r="X53" s="59">
        <v>0.99848999999999999</v>
      </c>
      <c r="Y53" s="73" t="s">
        <v>458</v>
      </c>
      <c r="Z53" s="73" t="s">
        <v>458</v>
      </c>
      <c r="AA53" s="59">
        <v>228.15674999999999</v>
      </c>
      <c r="AB53" s="59">
        <v>1.00152</v>
      </c>
      <c r="AC53" s="59">
        <v>2.4457</v>
      </c>
      <c r="AD53" s="59">
        <v>1.01786</v>
      </c>
      <c r="AE53" s="52">
        <v>0.44755</v>
      </c>
      <c r="AF53" s="52">
        <v>1.0379100000000001</v>
      </c>
      <c r="AG53" s="291" t="s">
        <v>458</v>
      </c>
      <c r="AH53" s="81" t="s">
        <v>458</v>
      </c>
      <c r="AI53" s="81" t="s">
        <v>458</v>
      </c>
      <c r="AJ53" s="308" t="s">
        <v>454</v>
      </c>
      <c r="AK53" s="197" t="s">
        <v>458</v>
      </c>
      <c r="AL53" s="53">
        <v>70</v>
      </c>
      <c r="AM53" s="53">
        <v>15</v>
      </c>
      <c r="AN53" s="53">
        <v>1.6</v>
      </c>
      <c r="AO53" s="93" t="s">
        <v>110</v>
      </c>
      <c r="AP53" s="73" t="s">
        <v>458</v>
      </c>
      <c r="AQ53" s="197" t="s">
        <v>458</v>
      </c>
      <c r="AR53" s="197" t="s">
        <v>458</v>
      </c>
      <c r="AS53" s="197" t="s">
        <v>458</v>
      </c>
      <c r="AT53" s="73" t="s">
        <v>458</v>
      </c>
      <c r="AU53" s="197" t="s">
        <v>458</v>
      </c>
    </row>
    <row r="54" spans="1:47" ht="16" x14ac:dyDescent="0.2">
      <c r="A54" s="21">
        <v>6</v>
      </c>
      <c r="B54" s="29">
        <v>5</v>
      </c>
      <c r="C54" s="29" t="s">
        <v>49</v>
      </c>
      <c r="D54" s="41" t="s">
        <v>33</v>
      </c>
      <c r="E54" s="45" t="s">
        <v>133</v>
      </c>
      <c r="F54" s="45" t="s">
        <v>134</v>
      </c>
      <c r="G54" s="45">
        <v>99</v>
      </c>
      <c r="H54" s="45">
        <v>1</v>
      </c>
      <c r="I54" s="45">
        <f t="shared" si="0"/>
        <v>100</v>
      </c>
      <c r="J54" s="75" t="s">
        <v>108</v>
      </c>
      <c r="K54" s="81" t="s">
        <v>458</v>
      </c>
      <c r="L54" s="230" t="s">
        <v>458</v>
      </c>
      <c r="M54" s="53">
        <v>0</v>
      </c>
      <c r="N54" s="53" t="s">
        <v>458</v>
      </c>
      <c r="O54" s="59" t="s">
        <v>458</v>
      </c>
      <c r="P54" s="53">
        <v>0</v>
      </c>
      <c r="Q54" s="128" t="s">
        <v>458</v>
      </c>
      <c r="R54" s="45" t="s">
        <v>458</v>
      </c>
      <c r="S54" s="53">
        <v>0</v>
      </c>
      <c r="T54" s="53">
        <v>100</v>
      </c>
      <c r="U54" s="121" t="s">
        <v>458</v>
      </c>
      <c r="V54" s="121" t="s">
        <v>458</v>
      </c>
      <c r="W54" s="59">
        <v>577.19298000000003</v>
      </c>
      <c r="X54" s="59">
        <v>2.0151300000000001</v>
      </c>
      <c r="Y54" s="73" t="s">
        <v>458</v>
      </c>
      <c r="Z54" s="73" t="s">
        <v>458</v>
      </c>
      <c r="AA54" s="59">
        <v>213.78809999999999</v>
      </c>
      <c r="AB54" s="59">
        <v>2.0030299999999999</v>
      </c>
      <c r="AC54" s="59">
        <v>2.7126700000000001</v>
      </c>
      <c r="AD54" s="59">
        <v>2.0357099999999999</v>
      </c>
      <c r="AE54" s="52">
        <v>0.64336000000000004</v>
      </c>
      <c r="AF54" s="52">
        <v>2.0189599999999999</v>
      </c>
      <c r="AG54" s="291" t="s">
        <v>458</v>
      </c>
      <c r="AH54" s="81" t="s">
        <v>458</v>
      </c>
      <c r="AI54" s="81" t="s">
        <v>458</v>
      </c>
      <c r="AJ54" s="308" t="s">
        <v>454</v>
      </c>
      <c r="AK54" s="197" t="s">
        <v>458</v>
      </c>
      <c r="AL54" s="53">
        <v>70</v>
      </c>
      <c r="AM54" s="53">
        <v>15</v>
      </c>
      <c r="AN54" s="53">
        <v>1.6</v>
      </c>
      <c r="AO54" s="93" t="s">
        <v>110</v>
      </c>
      <c r="AP54" s="73" t="s">
        <v>458</v>
      </c>
      <c r="AQ54" s="197" t="s">
        <v>458</v>
      </c>
      <c r="AR54" s="197" t="s">
        <v>458</v>
      </c>
      <c r="AS54" s="197" t="s">
        <v>458</v>
      </c>
      <c r="AT54" s="73" t="s">
        <v>458</v>
      </c>
      <c r="AU54" s="197" t="s">
        <v>458</v>
      </c>
    </row>
    <row r="55" spans="1:47" ht="16" x14ac:dyDescent="0.2">
      <c r="A55" s="21">
        <v>6</v>
      </c>
      <c r="B55" s="29">
        <v>5</v>
      </c>
      <c r="C55" s="29" t="s">
        <v>49</v>
      </c>
      <c r="D55" s="41" t="s">
        <v>33</v>
      </c>
      <c r="E55" s="45" t="s">
        <v>133</v>
      </c>
      <c r="F55" s="45" t="s">
        <v>134</v>
      </c>
      <c r="G55" s="45">
        <v>99</v>
      </c>
      <c r="H55" s="45">
        <v>1</v>
      </c>
      <c r="I55" s="45">
        <f t="shared" si="0"/>
        <v>100</v>
      </c>
      <c r="J55" s="75" t="s">
        <v>108</v>
      </c>
      <c r="K55" s="81" t="s">
        <v>458</v>
      </c>
      <c r="L55" s="230" t="s">
        <v>458</v>
      </c>
      <c r="M55" s="53">
        <v>0</v>
      </c>
      <c r="N55" s="53" t="s">
        <v>458</v>
      </c>
      <c r="O55" s="59" t="s">
        <v>458</v>
      </c>
      <c r="P55" s="53">
        <v>0</v>
      </c>
      <c r="Q55" s="128" t="s">
        <v>458</v>
      </c>
      <c r="R55" s="45" t="s">
        <v>458</v>
      </c>
      <c r="S55" s="53">
        <v>0</v>
      </c>
      <c r="T55" s="53">
        <v>100</v>
      </c>
      <c r="U55" s="121" t="s">
        <v>458</v>
      </c>
      <c r="V55" s="121" t="s">
        <v>458</v>
      </c>
      <c r="W55" s="59">
        <v>584.35672999999997</v>
      </c>
      <c r="X55" s="59">
        <v>3.5219399999999998</v>
      </c>
      <c r="Y55" s="73" t="s">
        <v>458</v>
      </c>
      <c r="Z55" s="73" t="s">
        <v>458</v>
      </c>
      <c r="AA55" s="59">
        <v>209.43396000000001</v>
      </c>
      <c r="AB55" s="59">
        <v>3.5508299999999999</v>
      </c>
      <c r="AC55" s="59">
        <v>2.7963800000000001</v>
      </c>
      <c r="AD55" s="59">
        <v>3.4642900000000001</v>
      </c>
      <c r="AE55" s="52">
        <v>0.61538000000000004</v>
      </c>
      <c r="AF55" s="52">
        <v>3.49763</v>
      </c>
      <c r="AG55" s="291" t="s">
        <v>458</v>
      </c>
      <c r="AH55" s="81" t="s">
        <v>458</v>
      </c>
      <c r="AI55" s="81" t="s">
        <v>458</v>
      </c>
      <c r="AJ55" s="308" t="s">
        <v>454</v>
      </c>
      <c r="AK55" s="197" t="s">
        <v>458</v>
      </c>
      <c r="AL55" s="53">
        <v>70</v>
      </c>
      <c r="AM55" s="53">
        <v>15</v>
      </c>
      <c r="AN55" s="53">
        <v>1.6</v>
      </c>
      <c r="AO55" s="93" t="s">
        <v>110</v>
      </c>
      <c r="AP55" s="73" t="s">
        <v>458</v>
      </c>
      <c r="AQ55" s="197" t="s">
        <v>458</v>
      </c>
      <c r="AR55" s="197" t="s">
        <v>458</v>
      </c>
      <c r="AS55" s="197" t="s">
        <v>458</v>
      </c>
      <c r="AT55" s="73" t="s">
        <v>458</v>
      </c>
      <c r="AU55" s="197" t="s">
        <v>458</v>
      </c>
    </row>
    <row r="56" spans="1:47" ht="16" x14ac:dyDescent="0.2">
      <c r="A56" s="21">
        <v>6</v>
      </c>
      <c r="B56" s="29">
        <v>5</v>
      </c>
      <c r="C56" s="29" t="s">
        <v>49</v>
      </c>
      <c r="D56" s="41" t="s">
        <v>33</v>
      </c>
      <c r="E56" s="45" t="s">
        <v>133</v>
      </c>
      <c r="F56" s="45" t="s">
        <v>134</v>
      </c>
      <c r="G56" s="45">
        <v>99</v>
      </c>
      <c r="H56" s="45">
        <v>1</v>
      </c>
      <c r="I56" s="45">
        <f t="shared" si="0"/>
        <v>100</v>
      </c>
      <c r="J56" s="75" t="s">
        <v>108</v>
      </c>
      <c r="K56" s="81" t="s">
        <v>458</v>
      </c>
      <c r="L56" s="230" t="s">
        <v>458</v>
      </c>
      <c r="M56" s="53">
        <v>0</v>
      </c>
      <c r="N56" s="53" t="s">
        <v>458</v>
      </c>
      <c r="O56" s="59" t="s">
        <v>458</v>
      </c>
      <c r="P56" s="53">
        <v>0</v>
      </c>
      <c r="Q56" s="128" t="s">
        <v>458</v>
      </c>
      <c r="R56" s="45" t="s">
        <v>458</v>
      </c>
      <c r="S56" s="53">
        <v>0</v>
      </c>
      <c r="T56" s="53">
        <v>100</v>
      </c>
      <c r="U56" s="121" t="s">
        <v>458</v>
      </c>
      <c r="V56" s="121" t="s">
        <v>458</v>
      </c>
      <c r="W56" s="59">
        <v>554.67836</v>
      </c>
      <c r="X56" s="59">
        <v>6.00908</v>
      </c>
      <c r="Y56" s="73" t="s">
        <v>458</v>
      </c>
      <c r="Z56" s="73" t="s">
        <v>458</v>
      </c>
      <c r="AA56" s="59">
        <v>220.75471999999999</v>
      </c>
      <c r="AB56" s="59">
        <v>6.0273099999999999</v>
      </c>
      <c r="AC56" s="59">
        <v>2.5248900000000001</v>
      </c>
      <c r="AD56" s="59">
        <v>6.0357099999999999</v>
      </c>
      <c r="AE56" s="52">
        <v>0.69930000000000003</v>
      </c>
      <c r="AF56" s="52">
        <v>6.0284399999999998</v>
      </c>
      <c r="AG56" s="291" t="s">
        <v>458</v>
      </c>
      <c r="AH56" s="81" t="s">
        <v>458</v>
      </c>
      <c r="AI56" s="81" t="s">
        <v>458</v>
      </c>
      <c r="AJ56" s="308" t="s">
        <v>454</v>
      </c>
      <c r="AK56" s="197" t="s">
        <v>458</v>
      </c>
      <c r="AL56" s="53">
        <v>70</v>
      </c>
      <c r="AM56" s="53">
        <v>15</v>
      </c>
      <c r="AN56" s="53">
        <v>1.6</v>
      </c>
      <c r="AO56" s="93" t="s">
        <v>110</v>
      </c>
      <c r="AP56" s="73" t="s">
        <v>458</v>
      </c>
      <c r="AQ56" s="197" t="s">
        <v>458</v>
      </c>
      <c r="AR56" s="197" t="s">
        <v>458</v>
      </c>
      <c r="AS56" s="197" t="s">
        <v>458</v>
      </c>
      <c r="AT56" s="73" t="s">
        <v>458</v>
      </c>
      <c r="AU56" s="197" t="s">
        <v>458</v>
      </c>
    </row>
    <row r="57" spans="1:47" ht="16" x14ac:dyDescent="0.2">
      <c r="A57" s="21">
        <v>6</v>
      </c>
      <c r="B57" s="29">
        <v>5</v>
      </c>
      <c r="C57" s="29" t="s">
        <v>49</v>
      </c>
      <c r="D57" s="41" t="s">
        <v>33</v>
      </c>
      <c r="E57" s="45" t="s">
        <v>133</v>
      </c>
      <c r="F57" s="45" t="s">
        <v>134</v>
      </c>
      <c r="G57" s="45">
        <v>99</v>
      </c>
      <c r="H57" s="45">
        <v>1</v>
      </c>
      <c r="I57" s="45">
        <f t="shared" si="0"/>
        <v>100</v>
      </c>
      <c r="J57" s="75" t="s">
        <v>108</v>
      </c>
      <c r="K57" s="81" t="s">
        <v>458</v>
      </c>
      <c r="L57" s="230" t="s">
        <v>458</v>
      </c>
      <c r="M57" s="53">
        <v>0</v>
      </c>
      <c r="N57" s="53" t="s">
        <v>458</v>
      </c>
      <c r="O57" s="59" t="s">
        <v>458</v>
      </c>
      <c r="P57" s="53">
        <v>0</v>
      </c>
      <c r="Q57" s="128" t="s">
        <v>458</v>
      </c>
      <c r="R57" s="45" t="s">
        <v>458</v>
      </c>
      <c r="S57" s="53">
        <v>0</v>
      </c>
      <c r="T57" s="53">
        <v>100</v>
      </c>
      <c r="U57" s="121" t="s">
        <v>458</v>
      </c>
      <c r="V57" s="121" t="s">
        <v>458</v>
      </c>
      <c r="W57" s="59">
        <v>550.58479999999997</v>
      </c>
      <c r="X57" s="59">
        <v>8.0605100000000007</v>
      </c>
      <c r="Y57" s="73" t="s">
        <v>458</v>
      </c>
      <c r="Z57" s="73" t="s">
        <v>458</v>
      </c>
      <c r="AA57" s="59">
        <v>227.72134</v>
      </c>
      <c r="AB57" s="59">
        <v>8.0121400000000005</v>
      </c>
      <c r="AC57" s="59">
        <v>2.4366500000000002</v>
      </c>
      <c r="AD57" s="59">
        <v>8</v>
      </c>
      <c r="AE57" s="52">
        <v>0.75524000000000002</v>
      </c>
      <c r="AF57" s="52">
        <v>8.00474</v>
      </c>
      <c r="AG57" s="291" t="s">
        <v>458</v>
      </c>
      <c r="AH57" s="81" t="s">
        <v>458</v>
      </c>
      <c r="AI57" s="81" t="s">
        <v>458</v>
      </c>
      <c r="AJ57" s="308" t="s">
        <v>454</v>
      </c>
      <c r="AK57" s="197" t="s">
        <v>458</v>
      </c>
      <c r="AL57" s="53">
        <v>70</v>
      </c>
      <c r="AM57" s="53">
        <v>15</v>
      </c>
      <c r="AN57" s="53">
        <v>1.6</v>
      </c>
      <c r="AO57" s="93" t="s">
        <v>110</v>
      </c>
      <c r="AP57" s="73" t="s">
        <v>458</v>
      </c>
      <c r="AQ57" s="197" t="s">
        <v>458</v>
      </c>
      <c r="AR57" s="197" t="s">
        <v>458</v>
      </c>
      <c r="AS57" s="197" t="s">
        <v>458</v>
      </c>
      <c r="AT57" s="73" t="s">
        <v>458</v>
      </c>
      <c r="AU57" s="197" t="s">
        <v>458</v>
      </c>
    </row>
    <row r="58" spans="1:47" ht="16" x14ac:dyDescent="0.2">
      <c r="A58" s="21">
        <v>6</v>
      </c>
      <c r="B58" s="29">
        <v>5</v>
      </c>
      <c r="C58" s="29" t="s">
        <v>49</v>
      </c>
      <c r="D58" s="41" t="s">
        <v>33</v>
      </c>
      <c r="E58" s="45" t="s">
        <v>133</v>
      </c>
      <c r="F58" s="45" t="s">
        <v>134</v>
      </c>
      <c r="G58" s="45">
        <v>99</v>
      </c>
      <c r="H58" s="45">
        <v>1</v>
      </c>
      <c r="I58" s="45">
        <f t="shared" si="0"/>
        <v>100</v>
      </c>
      <c r="J58" s="75" t="s">
        <v>108</v>
      </c>
      <c r="K58" s="81" t="s">
        <v>458</v>
      </c>
      <c r="L58" s="230" t="s">
        <v>458</v>
      </c>
      <c r="M58" s="53">
        <v>0</v>
      </c>
      <c r="N58" s="53" t="s">
        <v>458</v>
      </c>
      <c r="O58" s="59" t="s">
        <v>458</v>
      </c>
      <c r="P58" s="53">
        <v>0</v>
      </c>
      <c r="Q58" s="128" t="s">
        <v>458</v>
      </c>
      <c r="R58" s="45" t="s">
        <v>458</v>
      </c>
      <c r="S58" s="53">
        <v>0</v>
      </c>
      <c r="T58" s="53">
        <v>100</v>
      </c>
      <c r="U58" s="121" t="s">
        <v>458</v>
      </c>
      <c r="V58" s="121" t="s">
        <v>458</v>
      </c>
      <c r="W58" s="59">
        <v>544.44443999999999</v>
      </c>
      <c r="X58" s="59">
        <v>10.003030000000001</v>
      </c>
      <c r="Y58" s="73" t="s">
        <v>458</v>
      </c>
      <c r="Z58" s="73" t="s">
        <v>458</v>
      </c>
      <c r="AA58" s="59">
        <v>231.20464000000001</v>
      </c>
      <c r="AB58" s="59">
        <v>10.015169999999999</v>
      </c>
      <c r="AC58" s="59">
        <v>2.3597299999999999</v>
      </c>
      <c r="AD58" s="59">
        <v>10</v>
      </c>
      <c r="AE58" s="52">
        <v>0.86712999999999996</v>
      </c>
      <c r="AF58" s="52">
        <v>10.0237</v>
      </c>
      <c r="AG58" s="291" t="s">
        <v>458</v>
      </c>
      <c r="AH58" s="81" t="s">
        <v>458</v>
      </c>
      <c r="AI58" s="81" t="s">
        <v>458</v>
      </c>
      <c r="AJ58" s="308" t="s">
        <v>454</v>
      </c>
      <c r="AK58" s="197" t="s">
        <v>458</v>
      </c>
      <c r="AL58" s="53">
        <v>70</v>
      </c>
      <c r="AM58" s="53">
        <v>15</v>
      </c>
      <c r="AN58" s="53">
        <v>1.6</v>
      </c>
      <c r="AO58" s="93" t="s">
        <v>110</v>
      </c>
      <c r="AP58" s="73" t="s">
        <v>458</v>
      </c>
      <c r="AQ58" s="197" t="s">
        <v>458</v>
      </c>
      <c r="AR58" s="197" t="s">
        <v>458</v>
      </c>
      <c r="AS58" s="197" t="s">
        <v>458</v>
      </c>
      <c r="AT58" s="73" t="s">
        <v>458</v>
      </c>
      <c r="AU58" s="197" t="s">
        <v>458</v>
      </c>
    </row>
    <row r="59" spans="1:47" ht="16" x14ac:dyDescent="0.2">
      <c r="A59" s="21">
        <v>6</v>
      </c>
      <c r="B59" s="29">
        <v>5</v>
      </c>
      <c r="C59" s="29" t="s">
        <v>49</v>
      </c>
      <c r="D59" s="41" t="s">
        <v>33</v>
      </c>
      <c r="E59" s="45" t="s">
        <v>133</v>
      </c>
      <c r="F59" s="45" t="s">
        <v>134</v>
      </c>
      <c r="G59" s="45">
        <v>99</v>
      </c>
      <c r="H59" s="45">
        <v>1</v>
      </c>
      <c r="I59" s="45">
        <f t="shared" si="0"/>
        <v>100</v>
      </c>
      <c r="J59" s="75" t="s">
        <v>108</v>
      </c>
      <c r="K59" s="81" t="s">
        <v>458</v>
      </c>
      <c r="L59" s="230" t="s">
        <v>458</v>
      </c>
      <c r="M59" s="53">
        <v>0</v>
      </c>
      <c r="N59" s="53" t="s">
        <v>458</v>
      </c>
      <c r="O59" s="59" t="s">
        <v>458</v>
      </c>
      <c r="P59" s="53">
        <v>0</v>
      </c>
      <c r="Q59" s="128" t="s">
        <v>458</v>
      </c>
      <c r="R59" s="45" t="s">
        <v>458</v>
      </c>
      <c r="S59" s="53">
        <v>0</v>
      </c>
      <c r="T59" s="53">
        <v>100</v>
      </c>
      <c r="U59" s="121" t="s">
        <v>458</v>
      </c>
      <c r="V59" s="121" t="s">
        <v>458</v>
      </c>
      <c r="W59" s="59">
        <v>535.23</v>
      </c>
      <c r="X59" s="59">
        <v>12.01</v>
      </c>
      <c r="Y59" s="73" t="s">
        <v>458</v>
      </c>
      <c r="Z59" s="73" t="s">
        <v>458</v>
      </c>
      <c r="AA59" s="59">
        <v>235.99</v>
      </c>
      <c r="AB59" s="52">
        <v>12.036</v>
      </c>
      <c r="AC59" s="59">
        <v>2.262</v>
      </c>
      <c r="AD59" s="59">
        <v>12.015169999999999</v>
      </c>
      <c r="AE59" s="52">
        <v>0.97</v>
      </c>
      <c r="AF59" s="52">
        <v>12.055999999999999</v>
      </c>
      <c r="AG59" s="291" t="s">
        <v>458</v>
      </c>
      <c r="AH59" s="81" t="s">
        <v>458</v>
      </c>
      <c r="AI59" s="81" t="s">
        <v>458</v>
      </c>
      <c r="AJ59" s="308" t="s">
        <v>454</v>
      </c>
      <c r="AK59" s="197" t="s">
        <v>458</v>
      </c>
      <c r="AL59" s="53">
        <v>70</v>
      </c>
      <c r="AM59" s="53">
        <v>15</v>
      </c>
      <c r="AN59" s="53">
        <v>1.6</v>
      </c>
      <c r="AO59" s="93" t="s">
        <v>110</v>
      </c>
      <c r="AP59" s="73" t="s">
        <v>458</v>
      </c>
      <c r="AQ59" s="197" t="s">
        <v>458</v>
      </c>
      <c r="AR59" s="197" t="s">
        <v>458</v>
      </c>
      <c r="AS59" s="197" t="s">
        <v>458</v>
      </c>
      <c r="AT59" s="73" t="s">
        <v>458</v>
      </c>
      <c r="AU59" s="197" t="s">
        <v>458</v>
      </c>
    </row>
    <row r="60" spans="1:47" ht="15" customHeight="1" x14ac:dyDescent="0.2">
      <c r="A60" s="21">
        <v>6</v>
      </c>
      <c r="B60" s="29">
        <v>6</v>
      </c>
      <c r="C60" s="29" t="s">
        <v>48</v>
      </c>
      <c r="D60" s="41" t="s">
        <v>35</v>
      </c>
      <c r="E60" s="45" t="s">
        <v>133</v>
      </c>
      <c r="F60" s="45" t="s">
        <v>134</v>
      </c>
      <c r="G60" s="45">
        <v>99</v>
      </c>
      <c r="H60" s="45">
        <v>1</v>
      </c>
      <c r="I60" s="45">
        <f t="shared" si="0"/>
        <v>100</v>
      </c>
      <c r="J60" s="75" t="s">
        <v>111</v>
      </c>
      <c r="K60" s="81" t="s">
        <v>207</v>
      </c>
      <c r="L60" s="237" t="s">
        <v>422</v>
      </c>
      <c r="M60" s="53">
        <v>20</v>
      </c>
      <c r="N60" s="53" t="s">
        <v>458</v>
      </c>
      <c r="O60" s="59" t="s">
        <v>458</v>
      </c>
      <c r="P60" s="53">
        <v>0</v>
      </c>
      <c r="Q60" s="128" t="s">
        <v>458</v>
      </c>
      <c r="R60" s="45" t="s">
        <v>458</v>
      </c>
      <c r="S60" s="53">
        <v>0</v>
      </c>
      <c r="T60" s="53">
        <v>80</v>
      </c>
      <c r="U60" s="121" t="s">
        <v>458</v>
      </c>
      <c r="V60" s="121" t="s">
        <v>458</v>
      </c>
      <c r="W60" s="59">
        <v>520.90643</v>
      </c>
      <c r="X60" s="59">
        <v>0</v>
      </c>
      <c r="Y60" s="73" t="s">
        <v>458</v>
      </c>
      <c r="Z60" s="73" t="s">
        <v>458</v>
      </c>
      <c r="AA60" s="59">
        <v>208.12772000000001</v>
      </c>
      <c r="AB60" s="59">
        <v>0</v>
      </c>
      <c r="AC60" s="59">
        <v>2.4253399999999998</v>
      </c>
      <c r="AD60" s="59">
        <v>0</v>
      </c>
      <c r="AE60" s="52">
        <v>0</v>
      </c>
      <c r="AF60" s="59">
        <v>0</v>
      </c>
      <c r="AG60" s="291" t="s">
        <v>458</v>
      </c>
      <c r="AH60" s="81" t="s">
        <v>458</v>
      </c>
      <c r="AI60" s="81" t="s">
        <v>458</v>
      </c>
      <c r="AJ60" s="308" t="s">
        <v>454</v>
      </c>
      <c r="AK60" s="197" t="s">
        <v>458</v>
      </c>
      <c r="AL60" s="53">
        <v>70</v>
      </c>
      <c r="AM60" s="53">
        <v>15</v>
      </c>
      <c r="AN60" s="53">
        <v>1.6</v>
      </c>
      <c r="AO60" s="93" t="s">
        <v>110</v>
      </c>
      <c r="AP60" s="73" t="s">
        <v>458</v>
      </c>
      <c r="AQ60" s="197" t="s">
        <v>458</v>
      </c>
      <c r="AR60" s="197" t="s">
        <v>458</v>
      </c>
      <c r="AS60" s="197" t="s">
        <v>458</v>
      </c>
      <c r="AT60" s="73" t="s">
        <v>458</v>
      </c>
      <c r="AU60" s="197" t="s">
        <v>458</v>
      </c>
    </row>
    <row r="61" spans="1:47" ht="15" customHeight="1" x14ac:dyDescent="0.2">
      <c r="A61" s="21">
        <v>6</v>
      </c>
      <c r="B61" s="29">
        <v>6</v>
      </c>
      <c r="C61" s="29" t="s">
        <v>48</v>
      </c>
      <c r="D61" s="41" t="s">
        <v>35</v>
      </c>
      <c r="E61" s="45" t="s">
        <v>133</v>
      </c>
      <c r="F61" s="45" t="s">
        <v>134</v>
      </c>
      <c r="G61" s="45">
        <v>99</v>
      </c>
      <c r="H61" s="45">
        <v>1</v>
      </c>
      <c r="I61" s="45">
        <f t="shared" si="0"/>
        <v>100</v>
      </c>
      <c r="J61" s="75" t="s">
        <v>111</v>
      </c>
      <c r="K61" s="81" t="s">
        <v>207</v>
      </c>
      <c r="L61" s="237" t="s">
        <v>422</v>
      </c>
      <c r="M61" s="53">
        <v>20</v>
      </c>
      <c r="N61" s="53" t="s">
        <v>458</v>
      </c>
      <c r="O61" s="59" t="s">
        <v>458</v>
      </c>
      <c r="P61" s="53">
        <v>0</v>
      </c>
      <c r="Q61" s="128" t="s">
        <v>458</v>
      </c>
      <c r="R61" s="45" t="s">
        <v>458</v>
      </c>
      <c r="S61" s="53">
        <v>0</v>
      </c>
      <c r="T61" s="53">
        <v>80</v>
      </c>
      <c r="U61" s="121" t="s">
        <v>458</v>
      </c>
      <c r="V61" s="121" t="s">
        <v>458</v>
      </c>
      <c r="W61" s="59">
        <v>485.08771999999999</v>
      </c>
      <c r="X61" s="52">
        <v>0.98033000000000003</v>
      </c>
      <c r="Y61" s="73" t="s">
        <v>458</v>
      </c>
      <c r="Z61" s="73" t="s">
        <v>458</v>
      </c>
      <c r="AA61" s="59">
        <v>200.72568999999999</v>
      </c>
      <c r="AB61" s="59">
        <v>1.01973</v>
      </c>
      <c r="AC61" s="59">
        <v>2.4185500000000002</v>
      </c>
      <c r="AD61" s="59">
        <v>1</v>
      </c>
      <c r="AE61" s="52">
        <v>0.53147</v>
      </c>
      <c r="AF61" s="59">
        <v>0.99526000000000003</v>
      </c>
      <c r="AG61" s="291" t="s">
        <v>458</v>
      </c>
      <c r="AH61" s="81" t="s">
        <v>458</v>
      </c>
      <c r="AI61" s="81" t="s">
        <v>458</v>
      </c>
      <c r="AJ61" s="308" t="s">
        <v>454</v>
      </c>
      <c r="AK61" s="197" t="s">
        <v>458</v>
      </c>
      <c r="AL61" s="53">
        <v>70</v>
      </c>
      <c r="AM61" s="53">
        <v>15</v>
      </c>
      <c r="AN61" s="53">
        <v>1.6</v>
      </c>
      <c r="AO61" s="93" t="s">
        <v>110</v>
      </c>
      <c r="AP61" s="73" t="s">
        <v>458</v>
      </c>
      <c r="AQ61" s="197" t="s">
        <v>458</v>
      </c>
      <c r="AR61" s="197" t="s">
        <v>458</v>
      </c>
      <c r="AS61" s="197" t="s">
        <v>458</v>
      </c>
      <c r="AT61" s="73" t="s">
        <v>458</v>
      </c>
      <c r="AU61" s="197" t="s">
        <v>458</v>
      </c>
    </row>
    <row r="62" spans="1:47" ht="15" customHeight="1" x14ac:dyDescent="0.2">
      <c r="A62" s="21">
        <v>6</v>
      </c>
      <c r="B62" s="29">
        <v>6</v>
      </c>
      <c r="C62" s="29" t="s">
        <v>48</v>
      </c>
      <c r="D62" s="41" t="s">
        <v>35</v>
      </c>
      <c r="E62" s="45" t="s">
        <v>133</v>
      </c>
      <c r="F62" s="45" t="s">
        <v>134</v>
      </c>
      <c r="G62" s="45">
        <v>99</v>
      </c>
      <c r="H62" s="45">
        <v>1</v>
      </c>
      <c r="I62" s="45">
        <f t="shared" si="0"/>
        <v>100</v>
      </c>
      <c r="J62" s="75" t="s">
        <v>111</v>
      </c>
      <c r="K62" s="81" t="s">
        <v>207</v>
      </c>
      <c r="L62" s="237" t="s">
        <v>422</v>
      </c>
      <c r="M62" s="53">
        <v>20</v>
      </c>
      <c r="N62" s="53" t="s">
        <v>458</v>
      </c>
      <c r="O62" s="59" t="s">
        <v>458</v>
      </c>
      <c r="P62" s="53">
        <v>0</v>
      </c>
      <c r="Q62" s="128" t="s">
        <v>458</v>
      </c>
      <c r="R62" s="45" t="s">
        <v>458</v>
      </c>
      <c r="S62" s="53">
        <v>0</v>
      </c>
      <c r="T62" s="53">
        <v>80</v>
      </c>
      <c r="U62" s="121" t="s">
        <v>458</v>
      </c>
      <c r="V62" s="121" t="s">
        <v>458</v>
      </c>
      <c r="W62" s="59">
        <v>515.78947000000005</v>
      </c>
      <c r="X62" s="52">
        <v>2.03328</v>
      </c>
      <c r="Y62" s="73" t="s">
        <v>458</v>
      </c>
      <c r="Z62" s="73" t="s">
        <v>458</v>
      </c>
      <c r="AA62" s="59">
        <v>195.50073</v>
      </c>
      <c r="AB62" s="59">
        <v>2.0030299999999999</v>
      </c>
      <c r="AC62" s="59">
        <v>2.6674199999999999</v>
      </c>
      <c r="AD62" s="59">
        <v>2.0357099999999999</v>
      </c>
      <c r="AE62" s="52">
        <v>4.61538</v>
      </c>
      <c r="AF62" s="59">
        <v>1.9620899999999999</v>
      </c>
      <c r="AG62" s="291" t="s">
        <v>458</v>
      </c>
      <c r="AH62" s="81" t="s">
        <v>458</v>
      </c>
      <c r="AI62" s="81" t="s">
        <v>458</v>
      </c>
      <c r="AJ62" s="308" t="s">
        <v>454</v>
      </c>
      <c r="AK62" s="197" t="s">
        <v>458</v>
      </c>
      <c r="AL62" s="53">
        <v>70</v>
      </c>
      <c r="AM62" s="53">
        <v>15</v>
      </c>
      <c r="AN62" s="53">
        <v>1.6</v>
      </c>
      <c r="AO62" s="93" t="s">
        <v>110</v>
      </c>
      <c r="AP62" s="73" t="s">
        <v>458</v>
      </c>
      <c r="AQ62" s="197" t="s">
        <v>458</v>
      </c>
      <c r="AR62" s="197" t="s">
        <v>458</v>
      </c>
      <c r="AS62" s="197" t="s">
        <v>458</v>
      </c>
      <c r="AT62" s="73" t="s">
        <v>458</v>
      </c>
      <c r="AU62" s="197" t="s">
        <v>458</v>
      </c>
    </row>
    <row r="63" spans="1:47" ht="15" customHeight="1" x14ac:dyDescent="0.2">
      <c r="A63" s="21">
        <v>6</v>
      </c>
      <c r="B63" s="29">
        <v>6</v>
      </c>
      <c r="C63" s="29" t="s">
        <v>48</v>
      </c>
      <c r="D63" s="41" t="s">
        <v>35</v>
      </c>
      <c r="E63" s="45" t="s">
        <v>133</v>
      </c>
      <c r="F63" s="45" t="s">
        <v>134</v>
      </c>
      <c r="G63" s="45">
        <v>99</v>
      </c>
      <c r="H63" s="45">
        <v>1</v>
      </c>
      <c r="I63" s="45">
        <f t="shared" si="0"/>
        <v>100</v>
      </c>
      <c r="J63" s="75" t="s">
        <v>111</v>
      </c>
      <c r="K63" s="81" t="s">
        <v>207</v>
      </c>
      <c r="L63" s="237" t="s">
        <v>422</v>
      </c>
      <c r="M63" s="53">
        <v>20</v>
      </c>
      <c r="N63" s="53" t="s">
        <v>458</v>
      </c>
      <c r="O63" s="59" t="s">
        <v>458</v>
      </c>
      <c r="P63" s="53">
        <v>0</v>
      </c>
      <c r="Q63" s="128" t="s">
        <v>458</v>
      </c>
      <c r="R63" s="45" t="s">
        <v>458</v>
      </c>
      <c r="S63" s="53">
        <v>0</v>
      </c>
      <c r="T63" s="53">
        <v>80</v>
      </c>
      <c r="U63" s="121" t="s">
        <v>458</v>
      </c>
      <c r="V63" s="121" t="s">
        <v>458</v>
      </c>
      <c r="W63" s="59">
        <v>521.92981999999995</v>
      </c>
      <c r="X63" s="52">
        <v>3.5219399999999998</v>
      </c>
      <c r="Y63" s="73" t="s">
        <v>458</v>
      </c>
      <c r="Z63" s="73" t="s">
        <v>458</v>
      </c>
      <c r="AA63" s="59">
        <v>189.40493000000001</v>
      </c>
      <c r="AB63" s="59">
        <v>3.5144199999999999</v>
      </c>
      <c r="AC63" s="59">
        <v>2.75339</v>
      </c>
      <c r="AD63" s="59">
        <v>3.5</v>
      </c>
      <c r="AE63" s="52">
        <v>5.0349700000000004</v>
      </c>
      <c r="AF63" s="59">
        <v>3.4834100000000001</v>
      </c>
      <c r="AG63" s="291" t="s">
        <v>458</v>
      </c>
      <c r="AH63" s="81" t="s">
        <v>458</v>
      </c>
      <c r="AI63" s="81" t="s">
        <v>458</v>
      </c>
      <c r="AJ63" s="308" t="s">
        <v>454</v>
      </c>
      <c r="AK63" s="197" t="s">
        <v>458</v>
      </c>
      <c r="AL63" s="53">
        <v>70</v>
      </c>
      <c r="AM63" s="53">
        <v>15</v>
      </c>
      <c r="AN63" s="53">
        <v>1.6</v>
      </c>
      <c r="AO63" s="93" t="s">
        <v>110</v>
      </c>
      <c r="AP63" s="73" t="s">
        <v>458</v>
      </c>
      <c r="AQ63" s="197" t="s">
        <v>458</v>
      </c>
      <c r="AR63" s="197" t="s">
        <v>458</v>
      </c>
      <c r="AS63" s="197" t="s">
        <v>458</v>
      </c>
      <c r="AT63" s="73" t="s">
        <v>458</v>
      </c>
      <c r="AU63" s="197" t="s">
        <v>458</v>
      </c>
    </row>
    <row r="64" spans="1:47" ht="15" customHeight="1" x14ac:dyDescent="0.2">
      <c r="A64" s="21">
        <v>6</v>
      </c>
      <c r="B64" s="29">
        <v>6</v>
      </c>
      <c r="C64" s="29" t="s">
        <v>48</v>
      </c>
      <c r="D64" s="41" t="s">
        <v>35</v>
      </c>
      <c r="E64" s="45" t="s">
        <v>133</v>
      </c>
      <c r="F64" s="45" t="s">
        <v>134</v>
      </c>
      <c r="G64" s="45">
        <v>99</v>
      </c>
      <c r="H64" s="45">
        <v>1</v>
      </c>
      <c r="I64" s="45">
        <f t="shared" si="0"/>
        <v>100</v>
      </c>
      <c r="J64" s="75" t="s">
        <v>111</v>
      </c>
      <c r="K64" s="81" t="s">
        <v>207</v>
      </c>
      <c r="L64" s="237" t="s">
        <v>422</v>
      </c>
      <c r="M64" s="53">
        <v>20</v>
      </c>
      <c r="N64" s="53" t="s">
        <v>458</v>
      </c>
      <c r="O64" s="59" t="s">
        <v>458</v>
      </c>
      <c r="P64" s="53">
        <v>0</v>
      </c>
      <c r="Q64" s="128" t="s">
        <v>458</v>
      </c>
      <c r="R64" s="45" t="s">
        <v>458</v>
      </c>
      <c r="S64" s="53">
        <v>0</v>
      </c>
      <c r="T64" s="53">
        <v>80</v>
      </c>
      <c r="U64" s="121" t="s">
        <v>458</v>
      </c>
      <c r="V64" s="121" t="s">
        <v>458</v>
      </c>
      <c r="W64" s="59">
        <v>511.69591000000003</v>
      </c>
      <c r="X64" s="52">
        <v>6.0453900000000003</v>
      </c>
      <c r="Y64" s="73" t="s">
        <v>458</v>
      </c>
      <c r="Z64" s="73" t="s">
        <v>458</v>
      </c>
      <c r="AA64" s="59">
        <v>188.09869</v>
      </c>
      <c r="AB64" s="59">
        <v>6.0455199999999998</v>
      </c>
      <c r="AC64" s="59">
        <v>2.7149299999999998</v>
      </c>
      <c r="AD64" s="59">
        <v>6.0178599999999998</v>
      </c>
      <c r="AE64" s="52">
        <v>5.1468499999999997</v>
      </c>
      <c r="AF64" s="59">
        <v>6</v>
      </c>
      <c r="AG64" s="291" t="s">
        <v>458</v>
      </c>
      <c r="AH64" s="81" t="s">
        <v>458</v>
      </c>
      <c r="AI64" s="81" t="s">
        <v>458</v>
      </c>
      <c r="AJ64" s="308" t="s">
        <v>454</v>
      </c>
      <c r="AK64" s="197" t="s">
        <v>458</v>
      </c>
      <c r="AL64" s="53">
        <v>70</v>
      </c>
      <c r="AM64" s="53">
        <v>15</v>
      </c>
      <c r="AN64" s="53">
        <v>1.6</v>
      </c>
      <c r="AO64" s="93" t="s">
        <v>110</v>
      </c>
      <c r="AP64" s="73" t="s">
        <v>458</v>
      </c>
      <c r="AQ64" s="197" t="s">
        <v>458</v>
      </c>
      <c r="AR64" s="197" t="s">
        <v>458</v>
      </c>
      <c r="AS64" s="197" t="s">
        <v>458</v>
      </c>
      <c r="AT64" s="73" t="s">
        <v>458</v>
      </c>
      <c r="AU64" s="197" t="s">
        <v>458</v>
      </c>
    </row>
    <row r="65" spans="1:47" ht="15" customHeight="1" x14ac:dyDescent="0.2">
      <c r="A65" s="21">
        <v>6</v>
      </c>
      <c r="B65" s="29">
        <v>6</v>
      </c>
      <c r="C65" s="29" t="s">
        <v>48</v>
      </c>
      <c r="D65" s="41" t="s">
        <v>35</v>
      </c>
      <c r="E65" s="45" t="s">
        <v>133</v>
      </c>
      <c r="F65" s="45" t="s">
        <v>134</v>
      </c>
      <c r="G65" s="45">
        <v>99</v>
      </c>
      <c r="H65" s="45">
        <v>1</v>
      </c>
      <c r="I65" s="45">
        <f t="shared" si="0"/>
        <v>100</v>
      </c>
      <c r="J65" s="75" t="s">
        <v>111</v>
      </c>
      <c r="K65" s="81" t="s">
        <v>207</v>
      </c>
      <c r="L65" s="237" t="s">
        <v>422</v>
      </c>
      <c r="M65" s="53">
        <v>20</v>
      </c>
      <c r="N65" s="53" t="s">
        <v>458</v>
      </c>
      <c r="O65" s="59" t="s">
        <v>458</v>
      </c>
      <c r="P65" s="53">
        <v>0</v>
      </c>
      <c r="Q65" s="128" t="s">
        <v>458</v>
      </c>
      <c r="R65" s="45" t="s">
        <v>458</v>
      </c>
      <c r="S65" s="53">
        <v>0</v>
      </c>
      <c r="T65" s="53">
        <v>80</v>
      </c>
      <c r="U65" s="121" t="s">
        <v>458</v>
      </c>
      <c r="V65" s="121" t="s">
        <v>458</v>
      </c>
      <c r="W65" s="59">
        <v>487.1345</v>
      </c>
      <c r="X65" s="52">
        <v>8.0423600000000004</v>
      </c>
      <c r="Y65" s="73" t="s">
        <v>458</v>
      </c>
      <c r="Z65" s="73" t="s">
        <v>458</v>
      </c>
      <c r="AA65" s="59">
        <v>179.39042000000001</v>
      </c>
      <c r="AB65" s="59">
        <v>8.0121400000000005</v>
      </c>
      <c r="AC65" s="59">
        <v>2.7579199999999999</v>
      </c>
      <c r="AD65" s="59">
        <v>8</v>
      </c>
      <c r="AE65" s="52">
        <v>5.3706300000000002</v>
      </c>
      <c r="AF65" s="59">
        <v>8.0616099999999999</v>
      </c>
      <c r="AG65" s="291" t="s">
        <v>458</v>
      </c>
      <c r="AH65" s="81" t="s">
        <v>458</v>
      </c>
      <c r="AI65" s="81" t="s">
        <v>458</v>
      </c>
      <c r="AJ65" s="308" t="s">
        <v>454</v>
      </c>
      <c r="AK65" s="197" t="s">
        <v>458</v>
      </c>
      <c r="AL65" s="53">
        <v>70</v>
      </c>
      <c r="AM65" s="53">
        <v>15</v>
      </c>
      <c r="AN65" s="53">
        <v>1.6</v>
      </c>
      <c r="AO65" s="93" t="s">
        <v>110</v>
      </c>
      <c r="AP65" s="73" t="s">
        <v>458</v>
      </c>
      <c r="AQ65" s="197" t="s">
        <v>458</v>
      </c>
      <c r="AR65" s="197" t="s">
        <v>458</v>
      </c>
      <c r="AS65" s="197" t="s">
        <v>458</v>
      </c>
      <c r="AT65" s="73" t="s">
        <v>458</v>
      </c>
      <c r="AU65" s="197" t="s">
        <v>458</v>
      </c>
    </row>
    <row r="66" spans="1:47" ht="15" customHeight="1" x14ac:dyDescent="0.2">
      <c r="A66" s="21">
        <v>6</v>
      </c>
      <c r="B66" s="29">
        <v>6</v>
      </c>
      <c r="C66" s="29" t="s">
        <v>48</v>
      </c>
      <c r="D66" s="41" t="s">
        <v>35</v>
      </c>
      <c r="E66" s="45" t="s">
        <v>133</v>
      </c>
      <c r="F66" s="45" t="s">
        <v>134</v>
      </c>
      <c r="G66" s="45">
        <v>99</v>
      </c>
      <c r="H66" s="45">
        <v>1</v>
      </c>
      <c r="I66" s="45">
        <f t="shared" si="0"/>
        <v>100</v>
      </c>
      <c r="J66" s="75" t="s">
        <v>111</v>
      </c>
      <c r="K66" s="81" t="s">
        <v>207</v>
      </c>
      <c r="L66" s="237" t="s">
        <v>422</v>
      </c>
      <c r="M66" s="53">
        <v>20</v>
      </c>
      <c r="N66" s="53" t="s">
        <v>458</v>
      </c>
      <c r="O66" s="59" t="s">
        <v>458</v>
      </c>
      <c r="P66" s="53">
        <v>0</v>
      </c>
      <c r="Q66" s="128" t="s">
        <v>458</v>
      </c>
      <c r="R66" s="45" t="s">
        <v>458</v>
      </c>
      <c r="S66" s="53">
        <v>0</v>
      </c>
      <c r="T66" s="53">
        <v>80</v>
      </c>
      <c r="U66" s="121" t="s">
        <v>458</v>
      </c>
      <c r="V66" s="121" t="s">
        <v>458</v>
      </c>
      <c r="W66" s="59">
        <v>473.83040999999997</v>
      </c>
      <c r="X66" s="52">
        <v>10.021179999999999</v>
      </c>
      <c r="Y66" s="73" t="s">
        <v>458</v>
      </c>
      <c r="Z66" s="73" t="s">
        <v>458</v>
      </c>
      <c r="AA66" s="59">
        <v>168.50507999999999</v>
      </c>
      <c r="AB66" s="59">
        <v>10.015169999999999</v>
      </c>
      <c r="AC66" s="59">
        <v>2.7918599999999998</v>
      </c>
      <c r="AD66" s="59">
        <v>10</v>
      </c>
      <c r="AE66" s="52">
        <v>5.5104899999999999</v>
      </c>
      <c r="AF66" s="59">
        <v>10.0237</v>
      </c>
      <c r="AG66" s="291" t="s">
        <v>458</v>
      </c>
      <c r="AH66" s="81" t="s">
        <v>458</v>
      </c>
      <c r="AI66" s="81" t="s">
        <v>458</v>
      </c>
      <c r="AJ66" s="308" t="s">
        <v>454</v>
      </c>
      <c r="AK66" s="197" t="s">
        <v>458</v>
      </c>
      <c r="AL66" s="53">
        <v>70</v>
      </c>
      <c r="AM66" s="53">
        <v>15</v>
      </c>
      <c r="AN66" s="53">
        <v>1.6</v>
      </c>
      <c r="AO66" s="93" t="s">
        <v>110</v>
      </c>
      <c r="AP66" s="73" t="s">
        <v>458</v>
      </c>
      <c r="AQ66" s="197" t="s">
        <v>458</v>
      </c>
      <c r="AR66" s="197" t="s">
        <v>458</v>
      </c>
      <c r="AS66" s="197" t="s">
        <v>458</v>
      </c>
      <c r="AT66" s="73" t="s">
        <v>458</v>
      </c>
      <c r="AU66" s="197" t="s">
        <v>458</v>
      </c>
    </row>
    <row r="67" spans="1:47" ht="15" customHeight="1" x14ac:dyDescent="0.2">
      <c r="A67" s="21">
        <v>6</v>
      </c>
      <c r="B67" s="29">
        <v>6</v>
      </c>
      <c r="C67" s="29" t="s">
        <v>48</v>
      </c>
      <c r="D67" s="41" t="s">
        <v>35</v>
      </c>
      <c r="E67" s="45" t="s">
        <v>133</v>
      </c>
      <c r="F67" s="45" t="s">
        <v>134</v>
      </c>
      <c r="G67" s="45">
        <v>99</v>
      </c>
      <c r="H67" s="45">
        <v>1</v>
      </c>
      <c r="I67" s="45">
        <f t="shared" ref="I67:I130" si="1">(T67+M67+P67+S67)</f>
        <v>100</v>
      </c>
      <c r="J67" s="75" t="s">
        <v>111</v>
      </c>
      <c r="K67" s="81" t="s">
        <v>207</v>
      </c>
      <c r="L67" s="237" t="s">
        <v>422</v>
      </c>
      <c r="M67" s="53">
        <v>20</v>
      </c>
      <c r="N67" s="53" t="s">
        <v>458</v>
      </c>
      <c r="O67" s="59" t="s">
        <v>458</v>
      </c>
      <c r="P67" s="53">
        <v>0</v>
      </c>
      <c r="Q67" s="128" t="s">
        <v>458</v>
      </c>
      <c r="R67" s="45" t="s">
        <v>458</v>
      </c>
      <c r="S67" s="53">
        <v>0</v>
      </c>
      <c r="T67" s="53">
        <v>80</v>
      </c>
      <c r="U67" s="121" t="s">
        <v>458</v>
      </c>
      <c r="V67" s="121" t="s">
        <v>458</v>
      </c>
      <c r="W67" s="59">
        <v>451.31</v>
      </c>
      <c r="X67" s="52">
        <v>12.03</v>
      </c>
      <c r="Y67" s="73" t="s">
        <v>458</v>
      </c>
      <c r="Z67" s="73" t="s">
        <v>458</v>
      </c>
      <c r="AA67" s="59">
        <v>162.84469999999999</v>
      </c>
      <c r="AB67" s="59">
        <v>12</v>
      </c>
      <c r="AC67" s="59">
        <v>2.8122199999999999</v>
      </c>
      <c r="AD67" s="59">
        <v>12</v>
      </c>
      <c r="AE67" s="52">
        <v>5.6783200000000003</v>
      </c>
      <c r="AF67" s="59">
        <v>12</v>
      </c>
      <c r="AG67" s="291" t="s">
        <v>458</v>
      </c>
      <c r="AH67" s="81" t="s">
        <v>458</v>
      </c>
      <c r="AI67" s="81" t="s">
        <v>458</v>
      </c>
      <c r="AJ67" s="308" t="s">
        <v>454</v>
      </c>
      <c r="AK67" s="197" t="s">
        <v>458</v>
      </c>
      <c r="AL67" s="53">
        <v>70</v>
      </c>
      <c r="AM67" s="53">
        <v>15</v>
      </c>
      <c r="AN67" s="53">
        <v>1.6</v>
      </c>
      <c r="AO67" s="93" t="s">
        <v>110</v>
      </c>
      <c r="AP67" s="73" t="s">
        <v>458</v>
      </c>
      <c r="AQ67" s="197" t="s">
        <v>458</v>
      </c>
      <c r="AR67" s="197" t="s">
        <v>458</v>
      </c>
      <c r="AS67" s="197" t="s">
        <v>458</v>
      </c>
      <c r="AT67" s="73" t="s">
        <v>458</v>
      </c>
      <c r="AU67" s="197" t="s">
        <v>458</v>
      </c>
    </row>
    <row r="68" spans="1:47" ht="16" x14ac:dyDescent="0.2">
      <c r="A68" s="21">
        <v>6</v>
      </c>
      <c r="B68" s="29">
        <v>7</v>
      </c>
      <c r="C68" s="29" t="s">
        <v>47</v>
      </c>
      <c r="D68" s="41" t="s">
        <v>38</v>
      </c>
      <c r="E68" s="45" t="s">
        <v>133</v>
      </c>
      <c r="F68" s="45" t="s">
        <v>134</v>
      </c>
      <c r="G68" s="45">
        <v>99</v>
      </c>
      <c r="H68" s="45">
        <v>1</v>
      </c>
      <c r="I68" s="45">
        <f t="shared" si="1"/>
        <v>100</v>
      </c>
      <c r="J68" s="75" t="s">
        <v>111</v>
      </c>
      <c r="K68" s="81" t="s">
        <v>207</v>
      </c>
      <c r="L68" s="237" t="s">
        <v>422</v>
      </c>
      <c r="M68" s="53">
        <v>50</v>
      </c>
      <c r="N68" s="53" t="s">
        <v>458</v>
      </c>
      <c r="O68" s="59" t="s">
        <v>458</v>
      </c>
      <c r="P68" s="53">
        <v>0</v>
      </c>
      <c r="Q68" s="128" t="s">
        <v>458</v>
      </c>
      <c r="R68" s="45" t="s">
        <v>458</v>
      </c>
      <c r="S68" s="53">
        <v>0</v>
      </c>
      <c r="T68" s="53">
        <v>50</v>
      </c>
      <c r="U68" s="121" t="s">
        <v>458</v>
      </c>
      <c r="V68" s="121" t="s">
        <v>458</v>
      </c>
      <c r="W68" s="52">
        <v>375.58479999999997</v>
      </c>
      <c r="X68" s="59">
        <v>0</v>
      </c>
      <c r="Y68" s="73" t="s">
        <v>458</v>
      </c>
      <c r="Z68" s="73" t="s">
        <v>458</v>
      </c>
      <c r="AA68" s="81">
        <v>180.26124999999999</v>
      </c>
      <c r="AB68" s="59">
        <v>0</v>
      </c>
      <c r="AC68" s="59">
        <v>2.6040700000000001</v>
      </c>
      <c r="AD68" s="59">
        <v>0</v>
      </c>
      <c r="AE68" s="52">
        <v>0</v>
      </c>
      <c r="AF68" s="59">
        <v>0</v>
      </c>
      <c r="AG68" s="291" t="s">
        <v>458</v>
      </c>
      <c r="AH68" s="81" t="s">
        <v>458</v>
      </c>
      <c r="AI68" s="81" t="s">
        <v>458</v>
      </c>
      <c r="AJ68" s="308" t="s">
        <v>454</v>
      </c>
      <c r="AK68" s="197" t="s">
        <v>458</v>
      </c>
      <c r="AL68" s="53">
        <v>70</v>
      </c>
      <c r="AM68" s="53">
        <v>15</v>
      </c>
      <c r="AN68" s="53">
        <v>1.6</v>
      </c>
      <c r="AO68" s="93" t="s">
        <v>110</v>
      </c>
      <c r="AP68" s="73" t="s">
        <v>458</v>
      </c>
      <c r="AQ68" s="197" t="s">
        <v>458</v>
      </c>
      <c r="AR68" s="197" t="s">
        <v>458</v>
      </c>
      <c r="AS68" s="197" t="s">
        <v>458</v>
      </c>
      <c r="AT68" s="73" t="s">
        <v>458</v>
      </c>
      <c r="AU68" s="197" t="s">
        <v>458</v>
      </c>
    </row>
    <row r="69" spans="1:47" ht="16" x14ac:dyDescent="0.2">
      <c r="A69" s="21">
        <v>6</v>
      </c>
      <c r="B69" s="29">
        <v>7</v>
      </c>
      <c r="C69" s="29" t="s">
        <v>47</v>
      </c>
      <c r="D69" s="41" t="s">
        <v>38</v>
      </c>
      <c r="E69" s="45" t="s">
        <v>133</v>
      </c>
      <c r="F69" s="45" t="s">
        <v>134</v>
      </c>
      <c r="G69" s="45">
        <v>99</v>
      </c>
      <c r="H69" s="45">
        <v>1</v>
      </c>
      <c r="I69" s="45">
        <f t="shared" si="1"/>
        <v>100</v>
      </c>
      <c r="J69" s="75" t="s">
        <v>111</v>
      </c>
      <c r="K69" s="81" t="s">
        <v>207</v>
      </c>
      <c r="L69" s="237" t="s">
        <v>422</v>
      </c>
      <c r="M69" s="53">
        <v>50</v>
      </c>
      <c r="N69" s="53" t="s">
        <v>458</v>
      </c>
      <c r="O69" s="59" t="s">
        <v>458</v>
      </c>
      <c r="P69" s="53">
        <v>0</v>
      </c>
      <c r="Q69" s="128" t="s">
        <v>458</v>
      </c>
      <c r="R69" s="45" t="s">
        <v>458</v>
      </c>
      <c r="S69" s="53">
        <v>0</v>
      </c>
      <c r="T69" s="53">
        <v>50</v>
      </c>
      <c r="U69" s="121" t="s">
        <v>458</v>
      </c>
      <c r="V69" s="121" t="s">
        <v>458</v>
      </c>
      <c r="W69" s="52">
        <v>370.46784000000002</v>
      </c>
      <c r="X69" s="52">
        <v>1.01664</v>
      </c>
      <c r="Y69" s="73" t="s">
        <v>458</v>
      </c>
      <c r="Z69" s="73" t="s">
        <v>458</v>
      </c>
      <c r="AA69" s="81">
        <v>169.81131999999999</v>
      </c>
      <c r="AB69" s="59">
        <v>1.00152</v>
      </c>
      <c r="AC69" s="59">
        <v>2.28281</v>
      </c>
      <c r="AD69" s="59">
        <v>1</v>
      </c>
      <c r="AE69" s="52">
        <v>13.062939999999999</v>
      </c>
      <c r="AF69" s="52">
        <v>1.0224899999999999</v>
      </c>
      <c r="AG69" s="291" t="s">
        <v>458</v>
      </c>
      <c r="AH69" s="81" t="s">
        <v>458</v>
      </c>
      <c r="AI69" s="81" t="s">
        <v>458</v>
      </c>
      <c r="AJ69" s="308" t="s">
        <v>454</v>
      </c>
      <c r="AK69" s="197" t="s">
        <v>458</v>
      </c>
      <c r="AL69" s="53">
        <v>70</v>
      </c>
      <c r="AM69" s="53">
        <v>15</v>
      </c>
      <c r="AN69" s="53">
        <v>1.6</v>
      </c>
      <c r="AO69" s="93" t="s">
        <v>110</v>
      </c>
      <c r="AP69" s="73" t="s">
        <v>458</v>
      </c>
      <c r="AQ69" s="197" t="s">
        <v>458</v>
      </c>
      <c r="AR69" s="197" t="s">
        <v>458</v>
      </c>
      <c r="AS69" s="197" t="s">
        <v>458</v>
      </c>
      <c r="AT69" s="73" t="s">
        <v>458</v>
      </c>
      <c r="AU69" s="197" t="s">
        <v>458</v>
      </c>
    </row>
    <row r="70" spans="1:47" ht="16" x14ac:dyDescent="0.2">
      <c r="A70" s="21">
        <v>6</v>
      </c>
      <c r="B70" s="29">
        <v>7</v>
      </c>
      <c r="C70" s="29" t="s">
        <v>47</v>
      </c>
      <c r="D70" s="41" t="s">
        <v>38</v>
      </c>
      <c r="E70" s="45" t="s">
        <v>133</v>
      </c>
      <c r="F70" s="45" t="s">
        <v>134</v>
      </c>
      <c r="G70" s="45">
        <v>99</v>
      </c>
      <c r="H70" s="45">
        <v>1</v>
      </c>
      <c r="I70" s="45">
        <f t="shared" si="1"/>
        <v>100</v>
      </c>
      <c r="J70" s="75" t="s">
        <v>111</v>
      </c>
      <c r="K70" s="81" t="s">
        <v>207</v>
      </c>
      <c r="L70" s="237" t="s">
        <v>422</v>
      </c>
      <c r="M70" s="53">
        <v>50</v>
      </c>
      <c r="N70" s="53" t="s">
        <v>458</v>
      </c>
      <c r="O70" s="59" t="s">
        <v>458</v>
      </c>
      <c r="P70" s="53">
        <v>0</v>
      </c>
      <c r="Q70" s="128" t="s">
        <v>458</v>
      </c>
      <c r="R70" s="45" t="s">
        <v>458</v>
      </c>
      <c r="S70" s="53">
        <v>0</v>
      </c>
      <c r="T70" s="53">
        <v>50</v>
      </c>
      <c r="U70" s="121" t="s">
        <v>458</v>
      </c>
      <c r="V70" s="121" t="s">
        <v>458</v>
      </c>
      <c r="W70" s="52">
        <v>341.81286999999998</v>
      </c>
      <c r="X70" s="52">
        <v>2.03328</v>
      </c>
      <c r="Y70" s="73" t="s">
        <v>458</v>
      </c>
      <c r="Z70" s="73" t="s">
        <v>458</v>
      </c>
      <c r="AA70" s="81">
        <v>175.03628</v>
      </c>
      <c r="AB70" s="59">
        <v>2.0030299999999999</v>
      </c>
      <c r="AC70" s="59">
        <v>2.4072399999999998</v>
      </c>
      <c r="AD70" s="59">
        <v>2</v>
      </c>
      <c r="AE70" s="52">
        <v>14.125870000000001</v>
      </c>
      <c r="AF70" s="52">
        <v>1.98817</v>
      </c>
      <c r="AG70" s="291" t="s">
        <v>458</v>
      </c>
      <c r="AH70" s="81" t="s">
        <v>458</v>
      </c>
      <c r="AI70" s="81" t="s">
        <v>458</v>
      </c>
      <c r="AJ70" s="308" t="s">
        <v>454</v>
      </c>
      <c r="AK70" s="197" t="s">
        <v>458</v>
      </c>
      <c r="AL70" s="53">
        <v>70</v>
      </c>
      <c r="AM70" s="53">
        <v>15</v>
      </c>
      <c r="AN70" s="53">
        <v>1.6</v>
      </c>
      <c r="AO70" s="93" t="s">
        <v>110</v>
      </c>
      <c r="AP70" s="73" t="s">
        <v>458</v>
      </c>
      <c r="AQ70" s="197" t="s">
        <v>458</v>
      </c>
      <c r="AR70" s="197" t="s">
        <v>458</v>
      </c>
      <c r="AS70" s="197" t="s">
        <v>458</v>
      </c>
      <c r="AT70" s="73" t="s">
        <v>458</v>
      </c>
      <c r="AU70" s="197" t="s">
        <v>458</v>
      </c>
    </row>
    <row r="71" spans="1:47" ht="16" x14ac:dyDescent="0.2">
      <c r="A71" s="21">
        <v>6</v>
      </c>
      <c r="B71" s="29">
        <v>7</v>
      </c>
      <c r="C71" s="29" t="s">
        <v>47</v>
      </c>
      <c r="D71" s="41" t="s">
        <v>38</v>
      </c>
      <c r="E71" s="45" t="s">
        <v>133</v>
      </c>
      <c r="F71" s="45" t="s">
        <v>134</v>
      </c>
      <c r="G71" s="45">
        <v>99</v>
      </c>
      <c r="H71" s="45">
        <v>1</v>
      </c>
      <c r="I71" s="45">
        <f t="shared" si="1"/>
        <v>100</v>
      </c>
      <c r="J71" s="75" t="s">
        <v>111</v>
      </c>
      <c r="K71" s="81" t="s">
        <v>207</v>
      </c>
      <c r="L71" s="237" t="s">
        <v>422</v>
      </c>
      <c r="M71" s="53">
        <v>50</v>
      </c>
      <c r="N71" s="53" t="s">
        <v>458</v>
      </c>
      <c r="O71" s="59" t="s">
        <v>458</v>
      </c>
      <c r="P71" s="53">
        <v>0</v>
      </c>
      <c r="Q71" s="128" t="s">
        <v>458</v>
      </c>
      <c r="R71" s="45" t="s">
        <v>458</v>
      </c>
      <c r="S71" s="53">
        <v>0</v>
      </c>
      <c r="T71" s="53">
        <v>50</v>
      </c>
      <c r="U71" s="121" t="s">
        <v>458</v>
      </c>
      <c r="V71" s="121" t="s">
        <v>458</v>
      </c>
      <c r="W71" s="52">
        <v>318.27485000000001</v>
      </c>
      <c r="X71" s="52">
        <v>3.5582500000000001</v>
      </c>
      <c r="Y71" s="73" t="s">
        <v>458</v>
      </c>
      <c r="Z71" s="73" t="s">
        <v>458</v>
      </c>
      <c r="AA71" s="81">
        <v>141.07401999999999</v>
      </c>
      <c r="AB71" s="59">
        <v>3.5144199999999999</v>
      </c>
      <c r="AC71" s="59">
        <v>2.5905</v>
      </c>
      <c r="AD71" s="59">
        <v>3.4642900000000001</v>
      </c>
      <c r="AE71" s="52">
        <v>16.251750000000001</v>
      </c>
      <c r="AF71" s="52">
        <v>3.49349</v>
      </c>
      <c r="AG71" s="291" t="s">
        <v>458</v>
      </c>
      <c r="AH71" s="81" t="s">
        <v>458</v>
      </c>
      <c r="AI71" s="81" t="s">
        <v>458</v>
      </c>
      <c r="AJ71" s="308" t="s">
        <v>454</v>
      </c>
      <c r="AK71" s="197" t="s">
        <v>458</v>
      </c>
      <c r="AL71" s="53">
        <v>70</v>
      </c>
      <c r="AM71" s="53">
        <v>15</v>
      </c>
      <c r="AN71" s="53">
        <v>1.6</v>
      </c>
      <c r="AO71" s="93" t="s">
        <v>110</v>
      </c>
      <c r="AP71" s="73" t="s">
        <v>458</v>
      </c>
      <c r="AQ71" s="197" t="s">
        <v>458</v>
      </c>
      <c r="AR71" s="197" t="s">
        <v>458</v>
      </c>
      <c r="AS71" s="197" t="s">
        <v>458</v>
      </c>
      <c r="AT71" s="73" t="s">
        <v>458</v>
      </c>
      <c r="AU71" s="197" t="s">
        <v>458</v>
      </c>
    </row>
    <row r="72" spans="1:47" ht="16" x14ac:dyDescent="0.2">
      <c r="A72" s="21">
        <v>6</v>
      </c>
      <c r="B72" s="29">
        <v>7</v>
      </c>
      <c r="C72" s="29" t="s">
        <v>47</v>
      </c>
      <c r="D72" s="41" t="s">
        <v>38</v>
      </c>
      <c r="E72" s="45" t="s">
        <v>133</v>
      </c>
      <c r="F72" s="45" t="s">
        <v>134</v>
      </c>
      <c r="G72" s="45">
        <v>99</v>
      </c>
      <c r="H72" s="45">
        <v>1</v>
      </c>
      <c r="I72" s="45">
        <f t="shared" si="1"/>
        <v>100</v>
      </c>
      <c r="J72" s="75" t="s">
        <v>111</v>
      </c>
      <c r="K72" s="81" t="s">
        <v>207</v>
      </c>
      <c r="L72" s="237" t="s">
        <v>422</v>
      </c>
      <c r="M72" s="53">
        <v>50</v>
      </c>
      <c r="N72" s="53" t="s">
        <v>458</v>
      </c>
      <c r="O72" s="59" t="s">
        <v>458</v>
      </c>
      <c r="P72" s="53">
        <v>0</v>
      </c>
      <c r="Q72" s="128" t="s">
        <v>458</v>
      </c>
      <c r="R72" s="45" t="s">
        <v>458</v>
      </c>
      <c r="S72" s="53">
        <v>0</v>
      </c>
      <c r="T72" s="53">
        <v>50</v>
      </c>
      <c r="U72" s="121" t="s">
        <v>458</v>
      </c>
      <c r="V72" s="121" t="s">
        <v>458</v>
      </c>
      <c r="W72" s="52">
        <v>332.60234000000003</v>
      </c>
      <c r="X72" s="52">
        <v>6.0272300000000003</v>
      </c>
      <c r="Y72" s="73" t="s">
        <v>458</v>
      </c>
      <c r="Z72" s="73" t="s">
        <v>458</v>
      </c>
      <c r="AA72" s="81">
        <v>151.95936</v>
      </c>
      <c r="AB72" s="59">
        <v>6.0091000000000001</v>
      </c>
      <c r="AC72" s="59">
        <v>2.8303199999999999</v>
      </c>
      <c r="AD72" s="59">
        <v>6</v>
      </c>
      <c r="AE72" s="52">
        <v>17.034970000000001</v>
      </c>
      <c r="AF72" s="52">
        <v>6.0213000000000001</v>
      </c>
      <c r="AG72" s="291" t="s">
        <v>458</v>
      </c>
      <c r="AH72" s="81" t="s">
        <v>458</v>
      </c>
      <c r="AI72" s="81" t="s">
        <v>458</v>
      </c>
      <c r="AJ72" s="308" t="s">
        <v>454</v>
      </c>
      <c r="AK72" s="197" t="s">
        <v>458</v>
      </c>
      <c r="AL72" s="53">
        <v>70</v>
      </c>
      <c r="AM72" s="53">
        <v>15</v>
      </c>
      <c r="AN72" s="53">
        <v>1.6</v>
      </c>
      <c r="AO72" s="93" t="s">
        <v>110</v>
      </c>
      <c r="AP72" s="73" t="s">
        <v>458</v>
      </c>
      <c r="AQ72" s="197" t="s">
        <v>458</v>
      </c>
      <c r="AR72" s="197" t="s">
        <v>458</v>
      </c>
      <c r="AS72" s="197" t="s">
        <v>458</v>
      </c>
      <c r="AT72" s="73" t="s">
        <v>458</v>
      </c>
      <c r="AU72" s="197" t="s">
        <v>458</v>
      </c>
    </row>
    <row r="73" spans="1:47" ht="16" x14ac:dyDescent="0.2">
      <c r="A73" s="21">
        <v>6</v>
      </c>
      <c r="B73" s="29">
        <v>7</v>
      </c>
      <c r="C73" s="29" t="s">
        <v>47</v>
      </c>
      <c r="D73" s="41" t="s">
        <v>38</v>
      </c>
      <c r="E73" s="45" t="s">
        <v>133</v>
      </c>
      <c r="F73" s="45" t="s">
        <v>134</v>
      </c>
      <c r="G73" s="45">
        <v>99</v>
      </c>
      <c r="H73" s="45">
        <v>1</v>
      </c>
      <c r="I73" s="45">
        <f t="shared" si="1"/>
        <v>100</v>
      </c>
      <c r="J73" s="75" t="s">
        <v>111</v>
      </c>
      <c r="K73" s="81" t="s">
        <v>207</v>
      </c>
      <c r="L73" s="237" t="s">
        <v>422</v>
      </c>
      <c r="M73" s="53">
        <v>50</v>
      </c>
      <c r="N73" s="53" t="s">
        <v>458</v>
      </c>
      <c r="O73" s="59" t="s">
        <v>458</v>
      </c>
      <c r="P73" s="53">
        <v>0</v>
      </c>
      <c r="Q73" s="128" t="s">
        <v>458</v>
      </c>
      <c r="R73" s="45" t="s">
        <v>458</v>
      </c>
      <c r="S73" s="53">
        <v>0</v>
      </c>
      <c r="T73" s="53">
        <v>50</v>
      </c>
      <c r="U73" s="121" t="s">
        <v>458</v>
      </c>
      <c r="V73" s="121" t="s">
        <v>458</v>
      </c>
      <c r="W73" s="52">
        <v>313.15789000000001</v>
      </c>
      <c r="X73" s="52">
        <v>8.0605100000000007</v>
      </c>
      <c r="Y73" s="73" t="s">
        <v>458</v>
      </c>
      <c r="Z73" s="73" t="s">
        <v>458</v>
      </c>
      <c r="AA73" s="81">
        <v>141.50943000000001</v>
      </c>
      <c r="AB73" s="59">
        <v>8.0121400000000005</v>
      </c>
      <c r="AC73" s="59">
        <v>2.7420800000000001</v>
      </c>
      <c r="AD73" s="59">
        <v>8</v>
      </c>
      <c r="AE73" s="52">
        <v>17.59441</v>
      </c>
      <c r="AF73" s="52">
        <v>8.0662699999999994</v>
      </c>
      <c r="AG73" s="291" t="s">
        <v>458</v>
      </c>
      <c r="AH73" s="81" t="s">
        <v>458</v>
      </c>
      <c r="AI73" s="81" t="s">
        <v>458</v>
      </c>
      <c r="AJ73" s="308" t="s">
        <v>454</v>
      </c>
      <c r="AK73" s="197" t="s">
        <v>458</v>
      </c>
      <c r="AL73" s="53">
        <v>70</v>
      </c>
      <c r="AM73" s="53">
        <v>15</v>
      </c>
      <c r="AN73" s="53">
        <v>1.6</v>
      </c>
      <c r="AO73" s="93" t="s">
        <v>110</v>
      </c>
      <c r="AP73" s="73" t="s">
        <v>458</v>
      </c>
      <c r="AQ73" s="197" t="s">
        <v>458</v>
      </c>
      <c r="AR73" s="197" t="s">
        <v>458</v>
      </c>
      <c r="AS73" s="197" t="s">
        <v>458</v>
      </c>
      <c r="AT73" s="73" t="s">
        <v>458</v>
      </c>
      <c r="AU73" s="197" t="s">
        <v>458</v>
      </c>
    </row>
    <row r="74" spans="1:47" ht="16" x14ac:dyDescent="0.2">
      <c r="A74" s="21">
        <v>6</v>
      </c>
      <c r="B74" s="29">
        <v>7</v>
      </c>
      <c r="C74" s="29" t="s">
        <v>47</v>
      </c>
      <c r="D74" s="41" t="s">
        <v>38</v>
      </c>
      <c r="E74" s="45" t="s">
        <v>133</v>
      </c>
      <c r="F74" s="45" t="s">
        <v>134</v>
      </c>
      <c r="G74" s="45">
        <v>99</v>
      </c>
      <c r="H74" s="45">
        <v>1</v>
      </c>
      <c r="I74" s="45">
        <f t="shared" si="1"/>
        <v>100</v>
      </c>
      <c r="J74" s="75" t="s">
        <v>111</v>
      </c>
      <c r="K74" s="81" t="s">
        <v>207</v>
      </c>
      <c r="L74" s="237" t="s">
        <v>422</v>
      </c>
      <c r="M74" s="53">
        <v>50</v>
      </c>
      <c r="N74" s="53" t="s">
        <v>458</v>
      </c>
      <c r="O74" s="59" t="s">
        <v>458</v>
      </c>
      <c r="P74" s="53">
        <v>0</v>
      </c>
      <c r="Q74" s="128" t="s">
        <v>458</v>
      </c>
      <c r="R74" s="45" t="s">
        <v>458</v>
      </c>
      <c r="S74" s="53">
        <v>0</v>
      </c>
      <c r="T74" s="53">
        <v>50</v>
      </c>
      <c r="U74" s="121" t="s">
        <v>458</v>
      </c>
      <c r="V74" s="121" t="s">
        <v>458</v>
      </c>
      <c r="W74" s="52">
        <v>305.99414999999999</v>
      </c>
      <c r="X74" s="52">
        <v>10.021179999999999</v>
      </c>
      <c r="Y74" s="73" t="s">
        <v>458</v>
      </c>
      <c r="Z74" s="73" t="s">
        <v>458</v>
      </c>
      <c r="AA74" s="81">
        <v>130.18868000000001</v>
      </c>
      <c r="AB74" s="59">
        <v>10.015169999999999</v>
      </c>
      <c r="AC74" s="59">
        <v>2.6448</v>
      </c>
      <c r="AD74" s="59">
        <v>10</v>
      </c>
      <c r="AE74" s="52">
        <v>18.04196</v>
      </c>
      <c r="AF74" s="52">
        <v>10.06864</v>
      </c>
      <c r="AG74" s="291" t="s">
        <v>458</v>
      </c>
      <c r="AH74" s="81" t="s">
        <v>458</v>
      </c>
      <c r="AI74" s="81" t="s">
        <v>458</v>
      </c>
      <c r="AJ74" s="308" t="s">
        <v>454</v>
      </c>
      <c r="AK74" s="197" t="s">
        <v>458</v>
      </c>
      <c r="AL74" s="53">
        <v>70</v>
      </c>
      <c r="AM74" s="53">
        <v>15</v>
      </c>
      <c r="AN74" s="53">
        <v>1.6</v>
      </c>
      <c r="AO74" s="93" t="s">
        <v>110</v>
      </c>
      <c r="AP74" s="73" t="s">
        <v>458</v>
      </c>
      <c r="AQ74" s="197" t="s">
        <v>458</v>
      </c>
      <c r="AR74" s="197" t="s">
        <v>458</v>
      </c>
      <c r="AS74" s="197" t="s">
        <v>458</v>
      </c>
      <c r="AT74" s="73" t="s">
        <v>458</v>
      </c>
      <c r="AU74" s="197" t="s">
        <v>458</v>
      </c>
    </row>
    <row r="75" spans="1:47" s="18" customFormat="1" ht="16" x14ac:dyDescent="0.2">
      <c r="A75" s="23">
        <v>6</v>
      </c>
      <c r="B75" s="30">
        <v>7</v>
      </c>
      <c r="C75" s="30" t="s">
        <v>47</v>
      </c>
      <c r="D75" s="43" t="s">
        <v>38</v>
      </c>
      <c r="E75" s="46" t="s">
        <v>133</v>
      </c>
      <c r="F75" s="46" t="s">
        <v>134</v>
      </c>
      <c r="G75" s="46">
        <v>99</v>
      </c>
      <c r="H75" s="46">
        <v>1</v>
      </c>
      <c r="I75" s="45">
        <f t="shared" si="1"/>
        <v>100</v>
      </c>
      <c r="J75" s="76" t="s">
        <v>111</v>
      </c>
      <c r="K75" s="89" t="s">
        <v>207</v>
      </c>
      <c r="L75" s="238" t="s">
        <v>422</v>
      </c>
      <c r="M75" s="54">
        <v>50</v>
      </c>
      <c r="N75" s="54" t="s">
        <v>458</v>
      </c>
      <c r="O75" s="60" t="s">
        <v>458</v>
      </c>
      <c r="P75" s="54">
        <v>0</v>
      </c>
      <c r="Q75" s="159" t="s">
        <v>458</v>
      </c>
      <c r="R75" s="46" t="s">
        <v>458</v>
      </c>
      <c r="S75" s="54">
        <v>0</v>
      </c>
      <c r="T75" s="54">
        <v>50</v>
      </c>
      <c r="U75" s="125" t="s">
        <v>458</v>
      </c>
      <c r="V75" s="125" t="s">
        <v>458</v>
      </c>
      <c r="W75" s="84">
        <v>291.66667000000001</v>
      </c>
      <c r="X75" s="84">
        <v>12</v>
      </c>
      <c r="Y75" s="74" t="s">
        <v>458</v>
      </c>
      <c r="Z75" s="74" t="s">
        <v>458</v>
      </c>
      <c r="AA75" s="89">
        <v>114.07837000000001</v>
      </c>
      <c r="AB75" s="60">
        <v>12</v>
      </c>
      <c r="AC75" s="60">
        <v>2.5452499999999998</v>
      </c>
      <c r="AD75" s="60">
        <v>12</v>
      </c>
      <c r="AE75" s="84">
        <v>18.40559</v>
      </c>
      <c r="AF75" s="84">
        <v>12</v>
      </c>
      <c r="AG75" s="292" t="s">
        <v>458</v>
      </c>
      <c r="AH75" s="89" t="s">
        <v>458</v>
      </c>
      <c r="AI75" s="89" t="s">
        <v>458</v>
      </c>
      <c r="AJ75" s="361" t="s">
        <v>454</v>
      </c>
      <c r="AK75" s="198" t="s">
        <v>458</v>
      </c>
      <c r="AL75" s="54">
        <v>70</v>
      </c>
      <c r="AM75" s="54">
        <v>15</v>
      </c>
      <c r="AN75" s="54">
        <v>1.6</v>
      </c>
      <c r="AO75" s="106" t="s">
        <v>110</v>
      </c>
      <c r="AP75" s="74" t="s">
        <v>458</v>
      </c>
      <c r="AQ75" s="198" t="s">
        <v>458</v>
      </c>
      <c r="AR75" s="198" t="s">
        <v>458</v>
      </c>
      <c r="AS75" s="198" t="s">
        <v>458</v>
      </c>
      <c r="AT75" s="74" t="s">
        <v>458</v>
      </c>
      <c r="AU75" s="198" t="s">
        <v>458</v>
      </c>
    </row>
    <row r="76" spans="1:47" s="183" customFormat="1" ht="16" x14ac:dyDescent="0.2">
      <c r="A76" s="23">
        <v>8</v>
      </c>
      <c r="B76" s="30">
        <v>1</v>
      </c>
      <c r="C76" s="30" t="s">
        <v>32</v>
      </c>
      <c r="D76" s="106" t="s">
        <v>36</v>
      </c>
      <c r="E76" s="105" t="s">
        <v>133</v>
      </c>
      <c r="F76" s="105" t="s">
        <v>134</v>
      </c>
      <c r="G76" s="363" t="s">
        <v>458</v>
      </c>
      <c r="H76" s="363" t="s">
        <v>458</v>
      </c>
      <c r="I76" s="45">
        <f t="shared" si="1"/>
        <v>100</v>
      </c>
      <c r="J76" s="104" t="s">
        <v>111</v>
      </c>
      <c r="K76" s="90" t="s">
        <v>218</v>
      </c>
      <c r="L76" s="184" t="s">
        <v>379</v>
      </c>
      <c r="M76" s="106">
        <v>30</v>
      </c>
      <c r="N76" s="106" t="s">
        <v>458</v>
      </c>
      <c r="O76" s="90" t="s">
        <v>458</v>
      </c>
      <c r="P76" s="106">
        <v>0</v>
      </c>
      <c r="Q76" s="90" t="s">
        <v>458</v>
      </c>
      <c r="R76" s="106" t="s">
        <v>458</v>
      </c>
      <c r="S76" s="106">
        <v>0</v>
      </c>
      <c r="T76" s="106">
        <v>70</v>
      </c>
      <c r="U76" s="125" t="s">
        <v>458</v>
      </c>
      <c r="V76" s="125" t="s">
        <v>458</v>
      </c>
      <c r="W76" s="90" t="s">
        <v>458</v>
      </c>
      <c r="X76" s="90" t="s">
        <v>458</v>
      </c>
      <c r="Y76" s="73" t="s">
        <v>458</v>
      </c>
      <c r="Z76" s="73" t="s">
        <v>458</v>
      </c>
      <c r="AA76" s="90" t="s">
        <v>458</v>
      </c>
      <c r="AB76" s="90" t="s">
        <v>458</v>
      </c>
      <c r="AC76" s="90" t="s">
        <v>458</v>
      </c>
      <c r="AD76" s="90" t="s">
        <v>458</v>
      </c>
      <c r="AE76" s="90" t="s">
        <v>458</v>
      </c>
      <c r="AF76" s="90" t="s">
        <v>458</v>
      </c>
      <c r="AG76" s="293" t="s">
        <v>458</v>
      </c>
      <c r="AH76" s="90" t="s">
        <v>458</v>
      </c>
      <c r="AI76" s="89" t="s">
        <v>458</v>
      </c>
      <c r="AJ76" s="106" t="s">
        <v>219</v>
      </c>
      <c r="AK76" s="199" t="s">
        <v>458</v>
      </c>
      <c r="AL76" s="200" t="s">
        <v>220</v>
      </c>
      <c r="AM76" s="106">
        <v>2.5</v>
      </c>
      <c r="AN76" s="106" t="s">
        <v>458</v>
      </c>
      <c r="AO76" s="106" t="s">
        <v>167</v>
      </c>
      <c r="AP76" s="182" t="s">
        <v>458</v>
      </c>
      <c r="AQ76" s="198" t="s">
        <v>458</v>
      </c>
      <c r="AR76" s="198" t="s">
        <v>458</v>
      </c>
      <c r="AS76" s="198" t="s">
        <v>458</v>
      </c>
      <c r="AT76" s="182" t="s">
        <v>458</v>
      </c>
      <c r="AU76" s="198" t="s">
        <v>458</v>
      </c>
    </row>
    <row r="77" spans="1:47" ht="16" x14ac:dyDescent="0.2">
      <c r="A77" s="21">
        <v>9</v>
      </c>
      <c r="B77" s="29">
        <v>1</v>
      </c>
      <c r="C77" s="29" t="s">
        <v>223</v>
      </c>
      <c r="D77" s="93" t="s">
        <v>33</v>
      </c>
      <c r="E77" s="113" t="s">
        <v>133</v>
      </c>
      <c r="F77" s="113" t="s">
        <v>134</v>
      </c>
      <c r="G77" s="113">
        <v>94</v>
      </c>
      <c r="H77" s="113">
        <v>6</v>
      </c>
      <c r="I77" s="45">
        <f t="shared" si="1"/>
        <v>100</v>
      </c>
      <c r="J77" s="93" t="s">
        <v>108</v>
      </c>
      <c r="K77" s="97" t="s">
        <v>458</v>
      </c>
      <c r="L77" s="255" t="s">
        <v>458</v>
      </c>
      <c r="M77" s="92">
        <v>0</v>
      </c>
      <c r="N77" s="115" t="s">
        <v>458</v>
      </c>
      <c r="O77" s="255" t="s">
        <v>458</v>
      </c>
      <c r="P77" s="92">
        <v>0</v>
      </c>
      <c r="Q77" s="186" t="s">
        <v>458</v>
      </c>
      <c r="R77" s="219" t="s">
        <v>458</v>
      </c>
      <c r="S77" s="219">
        <v>0</v>
      </c>
      <c r="T77" s="219">
        <v>100</v>
      </c>
      <c r="U77" s="121" t="s">
        <v>458</v>
      </c>
      <c r="V77" s="121" t="s">
        <v>458</v>
      </c>
      <c r="W77" s="81">
        <v>680</v>
      </c>
      <c r="X77" s="81" t="s">
        <v>458</v>
      </c>
      <c r="Y77" s="73" t="s">
        <v>458</v>
      </c>
      <c r="Z77" s="73" t="s">
        <v>458</v>
      </c>
      <c r="AA77" s="81" t="s">
        <v>458</v>
      </c>
      <c r="AB77" s="81" t="s">
        <v>458</v>
      </c>
      <c r="AC77" s="81" t="s">
        <v>458</v>
      </c>
      <c r="AD77" s="81" t="s">
        <v>458</v>
      </c>
      <c r="AE77" s="81" t="s">
        <v>458</v>
      </c>
      <c r="AF77" s="81" t="s">
        <v>458</v>
      </c>
      <c r="AG77" s="291" t="s">
        <v>458</v>
      </c>
      <c r="AH77" s="81" t="s">
        <v>458</v>
      </c>
      <c r="AI77" s="81" t="s">
        <v>458</v>
      </c>
      <c r="AJ77" s="93" t="s">
        <v>235</v>
      </c>
      <c r="AK77" s="197" t="s">
        <v>458</v>
      </c>
      <c r="AL77" s="197" t="s">
        <v>458</v>
      </c>
      <c r="AM77" s="197" t="s">
        <v>458</v>
      </c>
      <c r="AN77" s="197" t="s">
        <v>458</v>
      </c>
      <c r="AO77" s="197" t="s">
        <v>458</v>
      </c>
      <c r="AP77" s="73" t="s">
        <v>458</v>
      </c>
      <c r="AQ77" s="197" t="s">
        <v>458</v>
      </c>
      <c r="AR77" s="197" t="s">
        <v>458</v>
      </c>
      <c r="AS77" s="197" t="s">
        <v>458</v>
      </c>
      <c r="AT77" s="73" t="s">
        <v>458</v>
      </c>
      <c r="AU77" s="197" t="s">
        <v>458</v>
      </c>
    </row>
    <row r="78" spans="1:47" ht="16" x14ac:dyDescent="0.2">
      <c r="A78" s="21">
        <v>9</v>
      </c>
      <c r="B78" s="29">
        <v>2</v>
      </c>
      <c r="C78" s="273" t="s">
        <v>224</v>
      </c>
      <c r="D78" s="93" t="s">
        <v>232</v>
      </c>
      <c r="E78" s="113" t="s">
        <v>133</v>
      </c>
      <c r="F78" s="113" t="s">
        <v>134</v>
      </c>
      <c r="G78" s="113">
        <v>94</v>
      </c>
      <c r="H78" s="113">
        <v>6</v>
      </c>
      <c r="I78" s="45">
        <f t="shared" si="1"/>
        <v>100</v>
      </c>
      <c r="J78" s="93" t="s">
        <v>111</v>
      </c>
      <c r="K78" s="97" t="s">
        <v>233</v>
      </c>
      <c r="L78" s="230" t="s">
        <v>378</v>
      </c>
      <c r="M78" s="92">
        <v>5</v>
      </c>
      <c r="N78" s="115" t="s">
        <v>458</v>
      </c>
      <c r="O78" s="115" t="s">
        <v>458</v>
      </c>
      <c r="P78" s="92">
        <v>0</v>
      </c>
      <c r="Q78" s="186" t="s">
        <v>458</v>
      </c>
      <c r="R78" s="219" t="s">
        <v>458</v>
      </c>
      <c r="S78" s="219">
        <v>0</v>
      </c>
      <c r="T78" s="219">
        <v>95</v>
      </c>
      <c r="U78" s="121" t="s">
        <v>458</v>
      </c>
      <c r="V78" s="121" t="s">
        <v>458</v>
      </c>
      <c r="W78" s="81" t="s">
        <v>458</v>
      </c>
      <c r="X78" s="81" t="s">
        <v>458</v>
      </c>
      <c r="Y78" s="73" t="s">
        <v>458</v>
      </c>
      <c r="Z78" s="73" t="s">
        <v>458</v>
      </c>
      <c r="AA78" s="81" t="s">
        <v>458</v>
      </c>
      <c r="AB78" s="81" t="s">
        <v>458</v>
      </c>
      <c r="AC78" s="81" t="s">
        <v>458</v>
      </c>
      <c r="AD78" s="81" t="s">
        <v>458</v>
      </c>
      <c r="AE78" s="81" t="s">
        <v>458</v>
      </c>
      <c r="AF78" s="81" t="s">
        <v>458</v>
      </c>
      <c r="AG78" s="291" t="s">
        <v>458</v>
      </c>
      <c r="AH78" s="81" t="s">
        <v>458</v>
      </c>
      <c r="AI78" s="81" t="s">
        <v>458</v>
      </c>
      <c r="AJ78" s="93" t="s">
        <v>235</v>
      </c>
      <c r="AK78" s="197" t="s">
        <v>458</v>
      </c>
      <c r="AL78" s="197" t="s">
        <v>458</v>
      </c>
      <c r="AM78" s="197" t="s">
        <v>458</v>
      </c>
      <c r="AN78" s="197" t="s">
        <v>458</v>
      </c>
      <c r="AO78" s="197" t="s">
        <v>458</v>
      </c>
      <c r="AP78" s="73" t="s">
        <v>458</v>
      </c>
      <c r="AQ78" s="197" t="s">
        <v>458</v>
      </c>
      <c r="AR78" s="197" t="s">
        <v>458</v>
      </c>
      <c r="AS78" s="197" t="s">
        <v>458</v>
      </c>
      <c r="AT78" s="73" t="s">
        <v>458</v>
      </c>
      <c r="AU78" s="197" t="s">
        <v>458</v>
      </c>
    </row>
    <row r="79" spans="1:47" ht="16" x14ac:dyDescent="0.2">
      <c r="A79" s="21">
        <v>9</v>
      </c>
      <c r="B79" s="29">
        <v>3</v>
      </c>
      <c r="C79" s="273" t="s">
        <v>225</v>
      </c>
      <c r="D79" s="93" t="s">
        <v>34</v>
      </c>
      <c r="E79" s="113" t="s">
        <v>133</v>
      </c>
      <c r="F79" s="113" t="s">
        <v>134</v>
      </c>
      <c r="G79" s="113">
        <v>94</v>
      </c>
      <c r="H79" s="113">
        <v>6</v>
      </c>
      <c r="I79" s="45">
        <f t="shared" si="1"/>
        <v>100</v>
      </c>
      <c r="J79" s="93" t="s">
        <v>111</v>
      </c>
      <c r="K79" s="97" t="s">
        <v>233</v>
      </c>
      <c r="L79" s="230" t="s">
        <v>378</v>
      </c>
      <c r="M79" s="92">
        <v>10</v>
      </c>
      <c r="N79" s="115" t="s">
        <v>458</v>
      </c>
      <c r="O79" s="115" t="s">
        <v>458</v>
      </c>
      <c r="P79" s="92">
        <v>0</v>
      </c>
      <c r="Q79" s="186" t="s">
        <v>458</v>
      </c>
      <c r="R79" s="219" t="s">
        <v>458</v>
      </c>
      <c r="S79" s="219">
        <v>0</v>
      </c>
      <c r="T79" s="219">
        <v>90</v>
      </c>
      <c r="U79" s="121" t="s">
        <v>458</v>
      </c>
      <c r="V79" s="121" t="s">
        <v>458</v>
      </c>
      <c r="W79" s="81" t="s">
        <v>458</v>
      </c>
      <c r="X79" s="81" t="s">
        <v>458</v>
      </c>
      <c r="Y79" s="73" t="s">
        <v>458</v>
      </c>
      <c r="Z79" s="73" t="s">
        <v>458</v>
      </c>
      <c r="AA79" s="81" t="s">
        <v>458</v>
      </c>
      <c r="AB79" s="81" t="s">
        <v>458</v>
      </c>
      <c r="AC79" s="81" t="s">
        <v>458</v>
      </c>
      <c r="AD79" s="81" t="s">
        <v>458</v>
      </c>
      <c r="AE79" s="81" t="s">
        <v>458</v>
      </c>
      <c r="AF79" s="81" t="s">
        <v>458</v>
      </c>
      <c r="AG79" s="291" t="s">
        <v>458</v>
      </c>
      <c r="AH79" s="81" t="s">
        <v>458</v>
      </c>
      <c r="AI79" s="81" t="s">
        <v>458</v>
      </c>
      <c r="AJ79" s="93" t="s">
        <v>235</v>
      </c>
      <c r="AK79" s="197" t="s">
        <v>458</v>
      </c>
      <c r="AL79" s="197" t="s">
        <v>458</v>
      </c>
      <c r="AM79" s="197" t="s">
        <v>458</v>
      </c>
      <c r="AN79" s="197" t="s">
        <v>458</v>
      </c>
      <c r="AO79" s="197" t="s">
        <v>458</v>
      </c>
      <c r="AP79" s="73" t="s">
        <v>458</v>
      </c>
      <c r="AQ79" s="197" t="s">
        <v>458</v>
      </c>
      <c r="AR79" s="197" t="s">
        <v>458</v>
      </c>
      <c r="AS79" s="197" t="s">
        <v>458</v>
      </c>
      <c r="AT79" s="73" t="s">
        <v>458</v>
      </c>
      <c r="AU79" s="197" t="s">
        <v>458</v>
      </c>
    </row>
    <row r="80" spans="1:47" ht="16" x14ac:dyDescent="0.2">
      <c r="A80" s="21">
        <v>9</v>
      </c>
      <c r="B80" s="29">
        <v>4</v>
      </c>
      <c r="C80" s="273" t="s">
        <v>226</v>
      </c>
      <c r="D80" s="93" t="s">
        <v>35</v>
      </c>
      <c r="E80" s="113" t="s">
        <v>133</v>
      </c>
      <c r="F80" s="113" t="s">
        <v>134</v>
      </c>
      <c r="G80" s="113">
        <v>94</v>
      </c>
      <c r="H80" s="113">
        <v>6</v>
      </c>
      <c r="I80" s="45">
        <f t="shared" si="1"/>
        <v>100</v>
      </c>
      <c r="J80" s="93" t="s">
        <v>111</v>
      </c>
      <c r="K80" s="97" t="s">
        <v>233</v>
      </c>
      <c r="L80" s="230" t="s">
        <v>378</v>
      </c>
      <c r="M80" s="92">
        <v>20</v>
      </c>
      <c r="N80" s="115" t="s">
        <v>458</v>
      </c>
      <c r="O80" s="115" t="s">
        <v>458</v>
      </c>
      <c r="P80" s="92">
        <v>0</v>
      </c>
      <c r="Q80" s="186" t="s">
        <v>458</v>
      </c>
      <c r="R80" s="219" t="s">
        <v>458</v>
      </c>
      <c r="S80" s="219">
        <v>0</v>
      </c>
      <c r="T80" s="219">
        <v>80</v>
      </c>
      <c r="U80" s="121" t="s">
        <v>458</v>
      </c>
      <c r="V80" s="121" t="s">
        <v>458</v>
      </c>
      <c r="W80" s="81" t="s">
        <v>458</v>
      </c>
      <c r="X80" s="81" t="s">
        <v>458</v>
      </c>
      <c r="Y80" s="73" t="s">
        <v>458</v>
      </c>
      <c r="Z80" s="73" t="s">
        <v>458</v>
      </c>
      <c r="AA80" s="81" t="s">
        <v>458</v>
      </c>
      <c r="AB80" s="81" t="s">
        <v>458</v>
      </c>
      <c r="AC80" s="81" t="s">
        <v>458</v>
      </c>
      <c r="AD80" s="81" t="s">
        <v>458</v>
      </c>
      <c r="AE80" s="81" t="s">
        <v>458</v>
      </c>
      <c r="AF80" s="81" t="s">
        <v>458</v>
      </c>
      <c r="AG80" s="291" t="s">
        <v>458</v>
      </c>
      <c r="AH80" s="81" t="s">
        <v>458</v>
      </c>
      <c r="AI80" s="81" t="s">
        <v>458</v>
      </c>
      <c r="AJ80" s="93" t="s">
        <v>235</v>
      </c>
      <c r="AK80" s="197" t="s">
        <v>458</v>
      </c>
      <c r="AL80" s="197" t="s">
        <v>458</v>
      </c>
      <c r="AM80" s="197" t="s">
        <v>458</v>
      </c>
      <c r="AN80" s="197" t="s">
        <v>458</v>
      </c>
      <c r="AO80" s="197" t="s">
        <v>458</v>
      </c>
      <c r="AP80" s="73" t="s">
        <v>458</v>
      </c>
      <c r="AQ80" s="197" t="s">
        <v>458</v>
      </c>
      <c r="AR80" s="197" t="s">
        <v>458</v>
      </c>
      <c r="AS80" s="197" t="s">
        <v>458</v>
      </c>
      <c r="AT80" s="73" t="s">
        <v>458</v>
      </c>
      <c r="AU80" s="197" t="s">
        <v>458</v>
      </c>
    </row>
    <row r="81" spans="1:47" ht="16" x14ac:dyDescent="0.2">
      <c r="A81" s="21">
        <v>9</v>
      </c>
      <c r="B81" s="29">
        <v>5</v>
      </c>
      <c r="C81" s="273" t="s">
        <v>227</v>
      </c>
      <c r="D81" s="93" t="s">
        <v>36</v>
      </c>
      <c r="E81" s="113" t="s">
        <v>133</v>
      </c>
      <c r="F81" s="113" t="s">
        <v>134</v>
      </c>
      <c r="G81" s="113">
        <v>94</v>
      </c>
      <c r="H81" s="113">
        <v>6</v>
      </c>
      <c r="I81" s="45">
        <f t="shared" si="1"/>
        <v>100</v>
      </c>
      <c r="J81" s="93" t="s">
        <v>111</v>
      </c>
      <c r="K81" s="97" t="s">
        <v>233</v>
      </c>
      <c r="L81" s="230" t="s">
        <v>378</v>
      </c>
      <c r="M81" s="92">
        <v>30</v>
      </c>
      <c r="N81" s="115" t="s">
        <v>458</v>
      </c>
      <c r="O81" s="115" t="s">
        <v>458</v>
      </c>
      <c r="P81" s="92">
        <v>0</v>
      </c>
      <c r="Q81" s="186" t="s">
        <v>458</v>
      </c>
      <c r="R81" s="219" t="s">
        <v>458</v>
      </c>
      <c r="S81" s="219">
        <v>0</v>
      </c>
      <c r="T81" s="219">
        <v>70</v>
      </c>
      <c r="U81" s="121" t="s">
        <v>458</v>
      </c>
      <c r="V81" s="121" t="s">
        <v>458</v>
      </c>
      <c r="W81" s="81" t="s">
        <v>458</v>
      </c>
      <c r="X81" s="81" t="s">
        <v>458</v>
      </c>
      <c r="Y81" s="73" t="s">
        <v>458</v>
      </c>
      <c r="Z81" s="73" t="s">
        <v>458</v>
      </c>
      <c r="AA81" s="81" t="s">
        <v>458</v>
      </c>
      <c r="AB81" s="81" t="s">
        <v>458</v>
      </c>
      <c r="AC81" s="81" t="s">
        <v>458</v>
      </c>
      <c r="AD81" s="81" t="s">
        <v>458</v>
      </c>
      <c r="AE81" s="81" t="s">
        <v>458</v>
      </c>
      <c r="AF81" s="81" t="s">
        <v>458</v>
      </c>
      <c r="AG81" s="291" t="s">
        <v>458</v>
      </c>
      <c r="AH81" s="81" t="s">
        <v>458</v>
      </c>
      <c r="AI81" s="81" t="s">
        <v>458</v>
      </c>
      <c r="AJ81" s="93" t="s">
        <v>235</v>
      </c>
      <c r="AK81" s="197" t="s">
        <v>458</v>
      </c>
      <c r="AL81" s="197" t="s">
        <v>458</v>
      </c>
      <c r="AM81" s="197" t="s">
        <v>458</v>
      </c>
      <c r="AN81" s="197" t="s">
        <v>458</v>
      </c>
      <c r="AO81" s="197" t="s">
        <v>458</v>
      </c>
      <c r="AP81" s="73" t="s">
        <v>458</v>
      </c>
      <c r="AQ81" s="197" t="s">
        <v>458</v>
      </c>
      <c r="AR81" s="197" t="s">
        <v>458</v>
      </c>
      <c r="AS81" s="197" t="s">
        <v>458</v>
      </c>
      <c r="AT81" s="73" t="s">
        <v>458</v>
      </c>
      <c r="AU81" s="197" t="s">
        <v>458</v>
      </c>
    </row>
    <row r="82" spans="1:47" ht="16" x14ac:dyDescent="0.2">
      <c r="A82" s="21">
        <v>9</v>
      </c>
      <c r="B82" s="29">
        <v>6</v>
      </c>
      <c r="C82" s="273" t="s">
        <v>228</v>
      </c>
      <c r="D82" s="93" t="s">
        <v>232</v>
      </c>
      <c r="E82" s="113" t="s">
        <v>133</v>
      </c>
      <c r="F82" s="113" t="s">
        <v>134</v>
      </c>
      <c r="G82" s="113">
        <v>94</v>
      </c>
      <c r="H82" s="113">
        <v>6</v>
      </c>
      <c r="I82" s="45">
        <f t="shared" si="1"/>
        <v>100</v>
      </c>
      <c r="J82" s="93" t="s">
        <v>111</v>
      </c>
      <c r="K82" s="97" t="s">
        <v>458</v>
      </c>
      <c r="L82" s="255" t="s">
        <v>458</v>
      </c>
      <c r="M82" s="92">
        <v>0</v>
      </c>
      <c r="N82" s="115" t="s">
        <v>234</v>
      </c>
      <c r="O82" s="212" t="s">
        <v>378</v>
      </c>
      <c r="P82" s="92">
        <v>5</v>
      </c>
      <c r="Q82" s="186" t="s">
        <v>458</v>
      </c>
      <c r="R82" s="219" t="s">
        <v>458</v>
      </c>
      <c r="S82" s="219">
        <v>0</v>
      </c>
      <c r="T82" s="219">
        <v>95</v>
      </c>
      <c r="U82" s="121" t="s">
        <v>458</v>
      </c>
      <c r="V82" s="121" t="s">
        <v>458</v>
      </c>
      <c r="W82" s="81" t="s">
        <v>458</v>
      </c>
      <c r="X82" s="81" t="s">
        <v>458</v>
      </c>
      <c r="Y82" s="73" t="s">
        <v>458</v>
      </c>
      <c r="Z82" s="73" t="s">
        <v>458</v>
      </c>
      <c r="AA82" s="81" t="s">
        <v>458</v>
      </c>
      <c r="AB82" s="81" t="s">
        <v>458</v>
      </c>
      <c r="AC82" s="81" t="s">
        <v>458</v>
      </c>
      <c r="AD82" s="81" t="s">
        <v>458</v>
      </c>
      <c r="AE82" s="81" t="s">
        <v>458</v>
      </c>
      <c r="AF82" s="81" t="s">
        <v>458</v>
      </c>
      <c r="AG82" s="291" t="s">
        <v>458</v>
      </c>
      <c r="AH82" s="81" t="s">
        <v>458</v>
      </c>
      <c r="AI82" s="81" t="s">
        <v>458</v>
      </c>
      <c r="AJ82" s="93" t="s">
        <v>235</v>
      </c>
      <c r="AK82" s="197" t="s">
        <v>458</v>
      </c>
      <c r="AL82" s="197" t="s">
        <v>458</v>
      </c>
      <c r="AM82" s="197" t="s">
        <v>458</v>
      </c>
      <c r="AN82" s="197" t="s">
        <v>458</v>
      </c>
      <c r="AO82" s="197" t="s">
        <v>458</v>
      </c>
      <c r="AP82" s="73" t="s">
        <v>458</v>
      </c>
      <c r="AQ82" s="197" t="s">
        <v>458</v>
      </c>
      <c r="AR82" s="197" t="s">
        <v>458</v>
      </c>
      <c r="AS82" s="197" t="s">
        <v>458</v>
      </c>
      <c r="AT82" s="73" t="s">
        <v>458</v>
      </c>
      <c r="AU82" s="197" t="s">
        <v>458</v>
      </c>
    </row>
    <row r="83" spans="1:47" ht="16" x14ac:dyDescent="0.2">
      <c r="A83" s="21">
        <v>9</v>
      </c>
      <c r="B83" s="29">
        <v>7</v>
      </c>
      <c r="C83" s="273" t="s">
        <v>229</v>
      </c>
      <c r="D83" s="93" t="s">
        <v>34</v>
      </c>
      <c r="E83" s="113" t="s">
        <v>133</v>
      </c>
      <c r="F83" s="113" t="s">
        <v>134</v>
      </c>
      <c r="G83" s="113">
        <v>94</v>
      </c>
      <c r="H83" s="113">
        <v>6</v>
      </c>
      <c r="I83" s="45">
        <f t="shared" si="1"/>
        <v>100</v>
      </c>
      <c r="J83" s="93" t="s">
        <v>111</v>
      </c>
      <c r="K83" s="97" t="s">
        <v>458</v>
      </c>
      <c r="L83" s="39" t="s">
        <v>458</v>
      </c>
      <c r="M83" s="92">
        <v>0</v>
      </c>
      <c r="N83" s="115" t="s">
        <v>234</v>
      </c>
      <c r="O83" s="212" t="s">
        <v>378</v>
      </c>
      <c r="P83" s="92">
        <v>10</v>
      </c>
      <c r="Q83" s="186" t="s">
        <v>458</v>
      </c>
      <c r="R83" s="219" t="s">
        <v>458</v>
      </c>
      <c r="S83" s="219">
        <v>0</v>
      </c>
      <c r="T83" s="219">
        <v>90</v>
      </c>
      <c r="U83" s="121" t="s">
        <v>458</v>
      </c>
      <c r="V83" s="121" t="s">
        <v>458</v>
      </c>
      <c r="W83" s="81" t="s">
        <v>458</v>
      </c>
      <c r="X83" s="81" t="s">
        <v>458</v>
      </c>
      <c r="Y83" s="73" t="s">
        <v>458</v>
      </c>
      <c r="Z83" s="73" t="s">
        <v>458</v>
      </c>
      <c r="AA83" s="81" t="s">
        <v>458</v>
      </c>
      <c r="AB83" s="81" t="s">
        <v>458</v>
      </c>
      <c r="AC83" s="81" t="s">
        <v>458</v>
      </c>
      <c r="AD83" s="81" t="s">
        <v>458</v>
      </c>
      <c r="AE83" s="81" t="s">
        <v>458</v>
      </c>
      <c r="AF83" s="81" t="s">
        <v>458</v>
      </c>
      <c r="AG83" s="291" t="s">
        <v>458</v>
      </c>
      <c r="AH83" s="81" t="s">
        <v>458</v>
      </c>
      <c r="AI83" s="81" t="s">
        <v>458</v>
      </c>
      <c r="AJ83" s="93" t="s">
        <v>235</v>
      </c>
      <c r="AK83" s="197" t="s">
        <v>458</v>
      </c>
      <c r="AL83" s="197" t="s">
        <v>458</v>
      </c>
      <c r="AM83" s="197" t="s">
        <v>458</v>
      </c>
      <c r="AN83" s="197" t="s">
        <v>458</v>
      </c>
      <c r="AO83" s="197" t="s">
        <v>458</v>
      </c>
      <c r="AP83" s="73" t="s">
        <v>458</v>
      </c>
      <c r="AQ83" s="197" t="s">
        <v>458</v>
      </c>
      <c r="AR83" s="197" t="s">
        <v>458</v>
      </c>
      <c r="AS83" s="197" t="s">
        <v>458</v>
      </c>
      <c r="AT83" s="73" t="s">
        <v>458</v>
      </c>
      <c r="AU83" s="197" t="s">
        <v>458</v>
      </c>
    </row>
    <row r="84" spans="1:47" ht="16" x14ac:dyDescent="0.2">
      <c r="A84" s="21">
        <v>9</v>
      </c>
      <c r="B84" s="29">
        <v>8</v>
      </c>
      <c r="C84" s="273" t="s">
        <v>230</v>
      </c>
      <c r="D84" s="93" t="s">
        <v>35</v>
      </c>
      <c r="E84" s="113" t="s">
        <v>133</v>
      </c>
      <c r="F84" s="113" t="s">
        <v>134</v>
      </c>
      <c r="G84" s="113">
        <v>94</v>
      </c>
      <c r="H84" s="113">
        <v>6</v>
      </c>
      <c r="I84" s="45">
        <f t="shared" si="1"/>
        <v>100</v>
      </c>
      <c r="J84" s="93" t="s">
        <v>111</v>
      </c>
      <c r="K84" s="97" t="s">
        <v>458</v>
      </c>
      <c r="L84" s="39" t="s">
        <v>458</v>
      </c>
      <c r="M84" s="92">
        <v>0</v>
      </c>
      <c r="N84" s="115" t="s">
        <v>234</v>
      </c>
      <c r="O84" s="212" t="s">
        <v>378</v>
      </c>
      <c r="P84" s="92">
        <v>20</v>
      </c>
      <c r="Q84" s="186" t="s">
        <v>458</v>
      </c>
      <c r="R84" s="219" t="s">
        <v>458</v>
      </c>
      <c r="S84" s="219">
        <v>0</v>
      </c>
      <c r="T84" s="219">
        <v>80</v>
      </c>
      <c r="U84" s="121" t="s">
        <v>458</v>
      </c>
      <c r="V84" s="121" t="s">
        <v>458</v>
      </c>
      <c r="W84" s="81" t="s">
        <v>458</v>
      </c>
      <c r="X84" s="81" t="s">
        <v>458</v>
      </c>
      <c r="Y84" s="73" t="s">
        <v>458</v>
      </c>
      <c r="Z84" s="73" t="s">
        <v>458</v>
      </c>
      <c r="AA84" s="81" t="s">
        <v>458</v>
      </c>
      <c r="AB84" s="81" t="s">
        <v>458</v>
      </c>
      <c r="AC84" s="81" t="s">
        <v>458</v>
      </c>
      <c r="AD84" s="81" t="s">
        <v>458</v>
      </c>
      <c r="AE84" s="81" t="s">
        <v>458</v>
      </c>
      <c r="AF84" s="81" t="s">
        <v>458</v>
      </c>
      <c r="AG84" s="291" t="s">
        <v>458</v>
      </c>
      <c r="AH84" s="81" t="s">
        <v>458</v>
      </c>
      <c r="AI84" s="81" t="s">
        <v>458</v>
      </c>
      <c r="AJ84" s="93" t="s">
        <v>235</v>
      </c>
      <c r="AK84" s="197" t="s">
        <v>458</v>
      </c>
      <c r="AL84" s="197" t="s">
        <v>458</v>
      </c>
      <c r="AM84" s="197" t="s">
        <v>458</v>
      </c>
      <c r="AN84" s="197" t="s">
        <v>458</v>
      </c>
      <c r="AO84" s="197" t="s">
        <v>458</v>
      </c>
      <c r="AP84" s="73" t="s">
        <v>458</v>
      </c>
      <c r="AQ84" s="197" t="s">
        <v>458</v>
      </c>
      <c r="AR84" s="197" t="s">
        <v>458</v>
      </c>
      <c r="AS84" s="197" t="s">
        <v>458</v>
      </c>
      <c r="AT84" s="73" t="s">
        <v>458</v>
      </c>
      <c r="AU84" s="197" t="s">
        <v>458</v>
      </c>
    </row>
    <row r="85" spans="1:47" s="18" customFormat="1" ht="16" x14ac:dyDescent="0.2">
      <c r="A85" s="23">
        <v>9</v>
      </c>
      <c r="B85" s="30">
        <v>9</v>
      </c>
      <c r="C85" s="274" t="s">
        <v>231</v>
      </c>
      <c r="D85" s="106" t="s">
        <v>36</v>
      </c>
      <c r="E85" s="105" t="s">
        <v>133</v>
      </c>
      <c r="F85" s="105" t="s">
        <v>134</v>
      </c>
      <c r="G85" s="105">
        <v>94</v>
      </c>
      <c r="H85" s="105">
        <v>6</v>
      </c>
      <c r="I85" s="46">
        <f t="shared" si="1"/>
        <v>100</v>
      </c>
      <c r="J85" s="106" t="s">
        <v>111</v>
      </c>
      <c r="K85" s="98" t="s">
        <v>458</v>
      </c>
      <c r="L85" s="40" t="s">
        <v>458</v>
      </c>
      <c r="M85" s="114">
        <v>0</v>
      </c>
      <c r="N85" s="116" t="s">
        <v>234</v>
      </c>
      <c r="O85" s="213" t="s">
        <v>378</v>
      </c>
      <c r="P85" s="114">
        <v>30</v>
      </c>
      <c r="Q85" s="187" t="s">
        <v>458</v>
      </c>
      <c r="R85" s="220" t="s">
        <v>458</v>
      </c>
      <c r="S85" s="220">
        <v>0</v>
      </c>
      <c r="T85" s="220">
        <v>70</v>
      </c>
      <c r="U85" s="125" t="s">
        <v>458</v>
      </c>
      <c r="V85" s="125" t="s">
        <v>458</v>
      </c>
      <c r="W85" s="89" t="s">
        <v>458</v>
      </c>
      <c r="X85" s="89" t="s">
        <v>458</v>
      </c>
      <c r="Y85" s="74" t="s">
        <v>458</v>
      </c>
      <c r="Z85" s="74" t="s">
        <v>458</v>
      </c>
      <c r="AA85" s="89" t="s">
        <v>458</v>
      </c>
      <c r="AB85" s="89" t="s">
        <v>458</v>
      </c>
      <c r="AC85" s="89" t="s">
        <v>458</v>
      </c>
      <c r="AD85" s="89" t="s">
        <v>458</v>
      </c>
      <c r="AE85" s="89" t="s">
        <v>458</v>
      </c>
      <c r="AF85" s="89" t="s">
        <v>458</v>
      </c>
      <c r="AG85" s="292" t="s">
        <v>458</v>
      </c>
      <c r="AH85" s="89" t="s">
        <v>458</v>
      </c>
      <c r="AI85" s="89" t="s">
        <v>458</v>
      </c>
      <c r="AJ85" s="106" t="s">
        <v>235</v>
      </c>
      <c r="AK85" s="198" t="s">
        <v>458</v>
      </c>
      <c r="AL85" s="198" t="s">
        <v>458</v>
      </c>
      <c r="AM85" s="198" t="s">
        <v>458</v>
      </c>
      <c r="AN85" s="198" t="s">
        <v>458</v>
      </c>
      <c r="AO85" s="198" t="s">
        <v>458</v>
      </c>
      <c r="AP85" s="74" t="s">
        <v>458</v>
      </c>
      <c r="AQ85" s="198" t="s">
        <v>458</v>
      </c>
      <c r="AR85" s="198" t="s">
        <v>458</v>
      </c>
      <c r="AS85" s="198" t="s">
        <v>458</v>
      </c>
      <c r="AT85" s="74" t="s">
        <v>458</v>
      </c>
      <c r="AU85" s="198" t="s">
        <v>458</v>
      </c>
    </row>
    <row r="86" spans="1:47" x14ac:dyDescent="0.2">
      <c r="A86" s="21">
        <v>10</v>
      </c>
      <c r="B86" s="29">
        <v>1</v>
      </c>
      <c r="C86" s="29" t="s">
        <v>243</v>
      </c>
      <c r="D86" s="41" t="s">
        <v>240</v>
      </c>
      <c r="E86" s="45" t="s">
        <v>133</v>
      </c>
      <c r="F86" s="45" t="s">
        <v>134</v>
      </c>
      <c r="G86" s="45">
        <v>88</v>
      </c>
      <c r="H86" s="45">
        <v>12</v>
      </c>
      <c r="I86" s="45">
        <f t="shared" si="1"/>
        <v>100</v>
      </c>
      <c r="J86" s="121" t="s">
        <v>111</v>
      </c>
      <c r="K86" s="123" t="s">
        <v>237</v>
      </c>
      <c r="L86" s="241" t="s">
        <v>425</v>
      </c>
      <c r="M86" s="122">
        <v>80</v>
      </c>
      <c r="N86" s="121" t="s">
        <v>458</v>
      </c>
      <c r="O86" s="123" t="s">
        <v>458</v>
      </c>
      <c r="P86" s="122">
        <v>0</v>
      </c>
      <c r="Q86" s="123" t="s">
        <v>458</v>
      </c>
      <c r="R86" s="121" t="s">
        <v>458</v>
      </c>
      <c r="S86" s="122">
        <v>0</v>
      </c>
      <c r="T86" s="223">
        <v>20</v>
      </c>
      <c r="U86" s="121" t="s">
        <v>458</v>
      </c>
      <c r="V86" s="121" t="s">
        <v>458</v>
      </c>
      <c r="W86" s="81" t="s">
        <v>458</v>
      </c>
      <c r="X86" s="81" t="s">
        <v>458</v>
      </c>
      <c r="Y86" s="73" t="s">
        <v>458</v>
      </c>
      <c r="Z86" s="73" t="s">
        <v>458</v>
      </c>
      <c r="AA86" s="123">
        <v>126</v>
      </c>
      <c r="AB86" s="81" t="s">
        <v>458</v>
      </c>
      <c r="AC86" s="81" t="s">
        <v>458</v>
      </c>
      <c r="AD86" s="81" t="s">
        <v>458</v>
      </c>
      <c r="AE86" s="81" t="s">
        <v>458</v>
      </c>
      <c r="AF86" s="81" t="s">
        <v>458</v>
      </c>
      <c r="AG86" s="294">
        <v>1.1659999999999999</v>
      </c>
      <c r="AH86" s="78" t="s">
        <v>109</v>
      </c>
      <c r="AI86" s="81" t="s">
        <v>458</v>
      </c>
      <c r="AJ86" s="152" t="s">
        <v>245</v>
      </c>
      <c r="AK86" s="197" t="s">
        <v>458</v>
      </c>
      <c r="AL86" s="197" t="s">
        <v>458</v>
      </c>
      <c r="AM86" s="197" t="s">
        <v>458</v>
      </c>
      <c r="AN86" s="197" t="s">
        <v>458</v>
      </c>
      <c r="AO86" s="197" t="s">
        <v>458</v>
      </c>
      <c r="AP86" s="73" t="s">
        <v>458</v>
      </c>
      <c r="AQ86" s="197" t="s">
        <v>458</v>
      </c>
      <c r="AR86" s="197" t="s">
        <v>458</v>
      </c>
      <c r="AS86" s="197" t="s">
        <v>458</v>
      </c>
      <c r="AT86" s="73" t="s">
        <v>458</v>
      </c>
      <c r="AU86" s="41">
        <v>70</v>
      </c>
    </row>
    <row r="87" spans="1:47" x14ac:dyDescent="0.2">
      <c r="A87" s="21">
        <v>10</v>
      </c>
      <c r="B87" s="29">
        <v>2</v>
      </c>
      <c r="C87" s="29" t="s">
        <v>243</v>
      </c>
      <c r="D87" s="41" t="s">
        <v>39</v>
      </c>
      <c r="E87" s="45" t="s">
        <v>133</v>
      </c>
      <c r="F87" s="45" t="s">
        <v>134</v>
      </c>
      <c r="G87" s="45">
        <v>88</v>
      </c>
      <c r="H87" s="45">
        <v>12</v>
      </c>
      <c r="I87" s="45">
        <f t="shared" si="1"/>
        <v>100</v>
      </c>
      <c r="J87" s="121" t="s">
        <v>111</v>
      </c>
      <c r="K87" s="123" t="s">
        <v>237</v>
      </c>
      <c r="L87" s="241" t="s">
        <v>425</v>
      </c>
      <c r="M87" s="122">
        <v>60</v>
      </c>
      <c r="N87" s="121" t="s">
        <v>458</v>
      </c>
      <c r="O87" s="123" t="s">
        <v>458</v>
      </c>
      <c r="P87" s="122">
        <v>0</v>
      </c>
      <c r="Q87" s="123" t="s">
        <v>458</v>
      </c>
      <c r="R87" s="121" t="s">
        <v>458</v>
      </c>
      <c r="S87" s="122">
        <v>0</v>
      </c>
      <c r="T87" s="223">
        <v>40</v>
      </c>
      <c r="U87" s="121" t="s">
        <v>458</v>
      </c>
      <c r="V87" s="121" t="s">
        <v>458</v>
      </c>
      <c r="W87" s="81" t="s">
        <v>458</v>
      </c>
      <c r="X87" s="81" t="s">
        <v>458</v>
      </c>
      <c r="Y87" s="73" t="s">
        <v>458</v>
      </c>
      <c r="Z87" s="73" t="s">
        <v>458</v>
      </c>
      <c r="AA87" s="123">
        <v>182</v>
      </c>
      <c r="AB87" s="81" t="s">
        <v>458</v>
      </c>
      <c r="AC87" s="81" t="s">
        <v>458</v>
      </c>
      <c r="AD87" s="81" t="s">
        <v>458</v>
      </c>
      <c r="AE87" s="81" t="s">
        <v>458</v>
      </c>
      <c r="AF87" s="81" t="s">
        <v>458</v>
      </c>
      <c r="AG87" s="294">
        <v>1.1870000000000001</v>
      </c>
      <c r="AH87" s="78" t="s">
        <v>109</v>
      </c>
      <c r="AI87" s="81" t="s">
        <v>458</v>
      </c>
      <c r="AJ87" s="152" t="s">
        <v>245</v>
      </c>
      <c r="AK87" s="197" t="s">
        <v>458</v>
      </c>
      <c r="AL87" s="197" t="s">
        <v>458</v>
      </c>
      <c r="AM87" s="197" t="s">
        <v>458</v>
      </c>
      <c r="AN87" s="197" t="s">
        <v>458</v>
      </c>
      <c r="AO87" s="197" t="s">
        <v>458</v>
      </c>
      <c r="AP87" s="73" t="s">
        <v>458</v>
      </c>
      <c r="AQ87" s="197" t="s">
        <v>458</v>
      </c>
      <c r="AR87" s="197" t="s">
        <v>458</v>
      </c>
      <c r="AS87" s="197" t="s">
        <v>458</v>
      </c>
      <c r="AT87" s="73" t="s">
        <v>458</v>
      </c>
      <c r="AU87" s="41">
        <v>57</v>
      </c>
    </row>
    <row r="88" spans="1:47" x14ac:dyDescent="0.2">
      <c r="A88" s="21">
        <v>10</v>
      </c>
      <c r="B88" s="29">
        <v>3</v>
      </c>
      <c r="C88" s="29" t="s">
        <v>243</v>
      </c>
      <c r="D88" s="41" t="s">
        <v>38</v>
      </c>
      <c r="E88" s="45" t="s">
        <v>133</v>
      </c>
      <c r="F88" s="45" t="s">
        <v>134</v>
      </c>
      <c r="G88" s="45">
        <v>88</v>
      </c>
      <c r="H88" s="45">
        <v>12</v>
      </c>
      <c r="I88" s="45">
        <f t="shared" si="1"/>
        <v>100</v>
      </c>
      <c r="J88" s="121" t="s">
        <v>111</v>
      </c>
      <c r="K88" s="123" t="s">
        <v>237</v>
      </c>
      <c r="L88" s="241" t="s">
        <v>425</v>
      </c>
      <c r="M88" s="122">
        <v>50</v>
      </c>
      <c r="N88" s="121" t="s">
        <v>458</v>
      </c>
      <c r="O88" s="123" t="s">
        <v>458</v>
      </c>
      <c r="P88" s="122">
        <v>0</v>
      </c>
      <c r="Q88" s="123" t="s">
        <v>458</v>
      </c>
      <c r="R88" s="121" t="s">
        <v>458</v>
      </c>
      <c r="S88" s="122">
        <v>0</v>
      </c>
      <c r="T88" s="223">
        <v>50</v>
      </c>
      <c r="U88" s="121" t="s">
        <v>458</v>
      </c>
      <c r="V88" s="121" t="s">
        <v>458</v>
      </c>
      <c r="W88" s="81" t="s">
        <v>458</v>
      </c>
      <c r="X88" s="81" t="s">
        <v>458</v>
      </c>
      <c r="Y88" s="73" t="s">
        <v>458</v>
      </c>
      <c r="Z88" s="73" t="s">
        <v>458</v>
      </c>
      <c r="AA88" s="123">
        <v>210</v>
      </c>
      <c r="AB88" s="81" t="s">
        <v>458</v>
      </c>
      <c r="AC88" s="81" t="s">
        <v>458</v>
      </c>
      <c r="AD88" s="81" t="s">
        <v>458</v>
      </c>
      <c r="AE88" s="81" t="s">
        <v>458</v>
      </c>
      <c r="AF88" s="81" t="s">
        <v>458</v>
      </c>
      <c r="AG88" s="294">
        <v>1.1975</v>
      </c>
      <c r="AH88" s="78" t="s">
        <v>109</v>
      </c>
      <c r="AI88" s="81" t="s">
        <v>458</v>
      </c>
      <c r="AJ88" s="152" t="s">
        <v>245</v>
      </c>
      <c r="AK88" s="197" t="s">
        <v>458</v>
      </c>
      <c r="AL88" s="197" t="s">
        <v>458</v>
      </c>
      <c r="AM88" s="197" t="s">
        <v>458</v>
      </c>
      <c r="AN88" s="197" t="s">
        <v>458</v>
      </c>
      <c r="AO88" s="197" t="s">
        <v>458</v>
      </c>
      <c r="AP88" s="73" t="s">
        <v>458</v>
      </c>
      <c r="AQ88" s="197" t="s">
        <v>458</v>
      </c>
      <c r="AR88" s="197" t="s">
        <v>458</v>
      </c>
      <c r="AS88" s="197" t="s">
        <v>458</v>
      </c>
      <c r="AT88" s="73" t="s">
        <v>458</v>
      </c>
      <c r="AU88" s="41">
        <v>59</v>
      </c>
    </row>
    <row r="89" spans="1:47" x14ac:dyDescent="0.2">
      <c r="A89" s="21">
        <v>10</v>
      </c>
      <c r="B89" s="29">
        <v>4</v>
      </c>
      <c r="C89" s="29" t="s">
        <v>243</v>
      </c>
      <c r="D89" s="41" t="s">
        <v>37</v>
      </c>
      <c r="E89" s="45" t="s">
        <v>133</v>
      </c>
      <c r="F89" s="45" t="s">
        <v>134</v>
      </c>
      <c r="G89" s="45">
        <v>88</v>
      </c>
      <c r="H89" s="45">
        <v>12</v>
      </c>
      <c r="I89" s="45">
        <f t="shared" si="1"/>
        <v>100</v>
      </c>
      <c r="J89" s="121" t="s">
        <v>111</v>
      </c>
      <c r="K89" s="123" t="s">
        <v>237</v>
      </c>
      <c r="L89" s="241" t="s">
        <v>425</v>
      </c>
      <c r="M89" s="122">
        <v>40</v>
      </c>
      <c r="N89" s="121" t="s">
        <v>458</v>
      </c>
      <c r="O89" s="123" t="s">
        <v>458</v>
      </c>
      <c r="P89" s="122">
        <v>0</v>
      </c>
      <c r="Q89" s="123" t="s">
        <v>458</v>
      </c>
      <c r="R89" s="121" t="s">
        <v>458</v>
      </c>
      <c r="S89" s="122">
        <v>0</v>
      </c>
      <c r="T89" s="223">
        <v>60</v>
      </c>
      <c r="U89" s="121" t="s">
        <v>458</v>
      </c>
      <c r="V89" s="121" t="s">
        <v>458</v>
      </c>
      <c r="W89" s="81" t="s">
        <v>458</v>
      </c>
      <c r="X89" s="81" t="s">
        <v>458</v>
      </c>
      <c r="Y89" s="73" t="s">
        <v>458</v>
      </c>
      <c r="Z89" s="73" t="s">
        <v>458</v>
      </c>
      <c r="AA89" s="123">
        <v>238</v>
      </c>
      <c r="AB89" s="81" t="s">
        <v>458</v>
      </c>
      <c r="AC89" s="81" t="s">
        <v>458</v>
      </c>
      <c r="AD89" s="81" t="s">
        <v>458</v>
      </c>
      <c r="AE89" s="81" t="s">
        <v>458</v>
      </c>
      <c r="AF89" s="81" t="s">
        <v>458</v>
      </c>
      <c r="AG89" s="294">
        <v>1.208</v>
      </c>
      <c r="AH89" s="78" t="s">
        <v>109</v>
      </c>
      <c r="AI89" s="81" t="s">
        <v>458</v>
      </c>
      <c r="AJ89" s="152" t="s">
        <v>245</v>
      </c>
      <c r="AK89" s="197" t="s">
        <v>458</v>
      </c>
      <c r="AL89" s="197" t="s">
        <v>458</v>
      </c>
      <c r="AM89" s="197" t="s">
        <v>458</v>
      </c>
      <c r="AN89" s="197" t="s">
        <v>458</v>
      </c>
      <c r="AO89" s="197" t="s">
        <v>458</v>
      </c>
      <c r="AP89" s="73" t="s">
        <v>458</v>
      </c>
      <c r="AQ89" s="197" t="s">
        <v>458</v>
      </c>
      <c r="AR89" s="197" t="s">
        <v>458</v>
      </c>
      <c r="AS89" s="197" t="s">
        <v>458</v>
      </c>
      <c r="AT89" s="73" t="s">
        <v>458</v>
      </c>
      <c r="AU89" s="41">
        <v>63</v>
      </c>
    </row>
    <row r="90" spans="1:47" x14ac:dyDescent="0.2">
      <c r="A90" s="21">
        <v>10</v>
      </c>
      <c r="B90" s="29">
        <v>5</v>
      </c>
      <c r="C90" s="29" t="s">
        <v>243</v>
      </c>
      <c r="D90" s="41" t="s">
        <v>35</v>
      </c>
      <c r="E90" s="45" t="s">
        <v>133</v>
      </c>
      <c r="F90" s="45" t="s">
        <v>134</v>
      </c>
      <c r="G90" s="45">
        <v>88</v>
      </c>
      <c r="H90" s="45">
        <v>12</v>
      </c>
      <c r="I90" s="45">
        <f t="shared" si="1"/>
        <v>100</v>
      </c>
      <c r="J90" s="121" t="s">
        <v>111</v>
      </c>
      <c r="K90" s="123" t="s">
        <v>237</v>
      </c>
      <c r="L90" s="241" t="s">
        <v>425</v>
      </c>
      <c r="M90" s="122">
        <v>20</v>
      </c>
      <c r="N90" s="121" t="s">
        <v>458</v>
      </c>
      <c r="O90" s="123" t="s">
        <v>458</v>
      </c>
      <c r="P90" s="122">
        <v>0</v>
      </c>
      <c r="Q90" s="123" t="s">
        <v>458</v>
      </c>
      <c r="R90" s="121" t="s">
        <v>458</v>
      </c>
      <c r="S90" s="122">
        <v>0</v>
      </c>
      <c r="T90" s="223">
        <v>80</v>
      </c>
      <c r="U90" s="121" t="s">
        <v>458</v>
      </c>
      <c r="V90" s="121" t="s">
        <v>458</v>
      </c>
      <c r="W90" s="81" t="s">
        <v>458</v>
      </c>
      <c r="X90" s="81" t="s">
        <v>458</v>
      </c>
      <c r="Y90" s="73" t="s">
        <v>458</v>
      </c>
      <c r="Z90" s="73" t="s">
        <v>458</v>
      </c>
      <c r="AA90" s="123">
        <v>294</v>
      </c>
      <c r="AB90" s="81" t="s">
        <v>458</v>
      </c>
      <c r="AC90" s="81" t="s">
        <v>458</v>
      </c>
      <c r="AD90" s="81" t="s">
        <v>458</v>
      </c>
      <c r="AE90" s="81" t="s">
        <v>458</v>
      </c>
      <c r="AF90" s="81" t="s">
        <v>458</v>
      </c>
      <c r="AG90" s="294">
        <v>1.2290000000000001</v>
      </c>
      <c r="AH90" s="78" t="s">
        <v>109</v>
      </c>
      <c r="AI90" s="81" t="s">
        <v>458</v>
      </c>
      <c r="AJ90" s="152" t="s">
        <v>245</v>
      </c>
      <c r="AK90" s="197" t="s">
        <v>458</v>
      </c>
      <c r="AL90" s="197" t="s">
        <v>458</v>
      </c>
      <c r="AM90" s="197" t="s">
        <v>458</v>
      </c>
      <c r="AN90" s="197" t="s">
        <v>458</v>
      </c>
      <c r="AO90" s="197" t="s">
        <v>458</v>
      </c>
      <c r="AP90" s="73" t="s">
        <v>458</v>
      </c>
      <c r="AQ90" s="197" t="s">
        <v>458</v>
      </c>
      <c r="AR90" s="197" t="s">
        <v>458</v>
      </c>
      <c r="AS90" s="197" t="s">
        <v>458</v>
      </c>
      <c r="AT90" s="73" t="s">
        <v>458</v>
      </c>
      <c r="AU90" s="41">
        <v>67</v>
      </c>
    </row>
    <row r="91" spans="1:47" x14ac:dyDescent="0.2">
      <c r="A91" s="21">
        <v>10</v>
      </c>
      <c r="B91" s="29">
        <v>6</v>
      </c>
      <c r="C91" s="29" t="s">
        <v>244</v>
      </c>
      <c r="D91" s="41" t="s">
        <v>33</v>
      </c>
      <c r="E91" s="45" t="s">
        <v>133</v>
      </c>
      <c r="F91" s="45" t="s">
        <v>134</v>
      </c>
      <c r="G91" s="45">
        <v>88</v>
      </c>
      <c r="H91" s="45">
        <v>12</v>
      </c>
      <c r="I91" s="45">
        <f t="shared" si="1"/>
        <v>100</v>
      </c>
      <c r="J91" s="121" t="s">
        <v>108</v>
      </c>
      <c r="K91" s="255" t="s">
        <v>458</v>
      </c>
      <c r="L91" s="267" t="s">
        <v>458</v>
      </c>
      <c r="M91" s="122">
        <v>0</v>
      </c>
      <c r="N91" s="121" t="s">
        <v>458</v>
      </c>
      <c r="O91" s="123" t="s">
        <v>458</v>
      </c>
      <c r="P91" s="122">
        <v>0</v>
      </c>
      <c r="Q91" s="123" t="s">
        <v>458</v>
      </c>
      <c r="R91" s="121" t="s">
        <v>458</v>
      </c>
      <c r="S91" s="122">
        <v>0</v>
      </c>
      <c r="T91" s="223">
        <v>100</v>
      </c>
      <c r="U91" s="121" t="s">
        <v>458</v>
      </c>
      <c r="V91" s="121" t="s">
        <v>458</v>
      </c>
      <c r="W91" s="81" t="s">
        <v>458</v>
      </c>
      <c r="X91" s="81" t="s">
        <v>458</v>
      </c>
      <c r="Y91" s="73" t="s">
        <v>458</v>
      </c>
      <c r="Z91" s="73" t="s">
        <v>458</v>
      </c>
      <c r="AA91" s="123">
        <v>350</v>
      </c>
      <c r="AB91" s="81" t="s">
        <v>458</v>
      </c>
      <c r="AC91" s="81" t="s">
        <v>458</v>
      </c>
      <c r="AD91" s="81" t="s">
        <v>458</v>
      </c>
      <c r="AE91" s="81" t="s">
        <v>458</v>
      </c>
      <c r="AF91" s="81" t="s">
        <v>458</v>
      </c>
      <c r="AG91" s="286">
        <v>1.25</v>
      </c>
      <c r="AH91" s="78" t="s">
        <v>109</v>
      </c>
      <c r="AI91" s="81" t="s">
        <v>458</v>
      </c>
      <c r="AJ91" s="152" t="s">
        <v>245</v>
      </c>
      <c r="AK91" s="197" t="s">
        <v>458</v>
      </c>
      <c r="AL91" s="197" t="s">
        <v>458</v>
      </c>
      <c r="AM91" s="197" t="s">
        <v>458</v>
      </c>
      <c r="AN91" s="197" t="s">
        <v>458</v>
      </c>
      <c r="AO91" s="197" t="s">
        <v>458</v>
      </c>
      <c r="AP91" s="73" t="s">
        <v>458</v>
      </c>
      <c r="AQ91" s="197" t="s">
        <v>458</v>
      </c>
      <c r="AR91" s="197" t="s">
        <v>458</v>
      </c>
      <c r="AS91" s="197" t="s">
        <v>458</v>
      </c>
      <c r="AT91" s="73" t="s">
        <v>458</v>
      </c>
      <c r="AU91" s="41">
        <v>77</v>
      </c>
    </row>
    <row r="92" spans="1:47" ht="33" thickBot="1" x14ac:dyDescent="0.25">
      <c r="A92" s="21">
        <v>10</v>
      </c>
      <c r="B92" s="29">
        <v>7</v>
      </c>
      <c r="C92" s="29" t="s">
        <v>242</v>
      </c>
      <c r="D92" s="41" t="s">
        <v>240</v>
      </c>
      <c r="E92" s="45" t="s">
        <v>133</v>
      </c>
      <c r="F92" s="45" t="s">
        <v>134</v>
      </c>
      <c r="G92" s="45">
        <v>88</v>
      </c>
      <c r="H92" s="45">
        <v>12</v>
      </c>
      <c r="I92" s="45">
        <f t="shared" si="1"/>
        <v>100</v>
      </c>
      <c r="J92" s="121" t="s">
        <v>111</v>
      </c>
      <c r="K92" s="123" t="s">
        <v>237</v>
      </c>
      <c r="L92" s="241" t="s">
        <v>425</v>
      </c>
      <c r="M92" s="121">
        <v>79.5</v>
      </c>
      <c r="N92" s="41" t="s">
        <v>389</v>
      </c>
      <c r="O92" s="212" t="s">
        <v>378</v>
      </c>
      <c r="P92" s="121">
        <v>4</v>
      </c>
      <c r="Q92" s="91" t="s">
        <v>390</v>
      </c>
      <c r="R92" s="242" t="s">
        <v>427</v>
      </c>
      <c r="S92" s="221">
        <v>0.5</v>
      </c>
      <c r="T92" s="124">
        <v>16</v>
      </c>
      <c r="U92" s="121" t="s">
        <v>458</v>
      </c>
      <c r="V92" s="121" t="s">
        <v>458</v>
      </c>
      <c r="W92" s="81" t="s">
        <v>458</v>
      </c>
      <c r="X92" s="81" t="s">
        <v>458</v>
      </c>
      <c r="Y92" s="73" t="s">
        <v>458</v>
      </c>
      <c r="Z92" s="73" t="s">
        <v>458</v>
      </c>
      <c r="AA92" s="188">
        <v>111.66240999999999</v>
      </c>
      <c r="AB92" s="81" t="s">
        <v>458</v>
      </c>
      <c r="AC92" s="81" t="s">
        <v>458</v>
      </c>
      <c r="AD92" s="81" t="s">
        <v>458</v>
      </c>
      <c r="AE92" s="81" t="s">
        <v>458</v>
      </c>
      <c r="AF92" s="81" t="s">
        <v>458</v>
      </c>
      <c r="AG92" s="295">
        <v>1.1608000000000001</v>
      </c>
      <c r="AH92" s="78" t="s">
        <v>109</v>
      </c>
      <c r="AI92" s="81" t="s">
        <v>458</v>
      </c>
      <c r="AJ92" s="152" t="s">
        <v>245</v>
      </c>
      <c r="AK92" s="197" t="s">
        <v>458</v>
      </c>
      <c r="AL92" s="197" t="s">
        <v>458</v>
      </c>
      <c r="AM92" s="197" t="s">
        <v>458</v>
      </c>
      <c r="AN92" s="197" t="s">
        <v>458</v>
      </c>
      <c r="AO92" s="197" t="s">
        <v>458</v>
      </c>
      <c r="AP92" s="73" t="s">
        <v>458</v>
      </c>
      <c r="AQ92" s="197" t="s">
        <v>458</v>
      </c>
      <c r="AR92" s="197" t="s">
        <v>458</v>
      </c>
      <c r="AS92" s="197" t="s">
        <v>458</v>
      </c>
      <c r="AT92" s="73" t="s">
        <v>458</v>
      </c>
      <c r="AU92" s="41">
        <v>63</v>
      </c>
    </row>
    <row r="93" spans="1:47" ht="33" thickBot="1" x14ac:dyDescent="0.25">
      <c r="A93" s="21">
        <v>10</v>
      </c>
      <c r="B93" s="29">
        <v>8</v>
      </c>
      <c r="C93" s="29" t="s">
        <v>242</v>
      </c>
      <c r="D93" s="41" t="s">
        <v>39</v>
      </c>
      <c r="E93" s="45" t="s">
        <v>133</v>
      </c>
      <c r="F93" s="45" t="s">
        <v>134</v>
      </c>
      <c r="G93" s="45">
        <v>88</v>
      </c>
      <c r="H93" s="45">
        <v>12</v>
      </c>
      <c r="I93" s="45">
        <f t="shared" si="1"/>
        <v>100</v>
      </c>
      <c r="J93" s="121" t="s">
        <v>111</v>
      </c>
      <c r="K93" s="123" t="s">
        <v>237</v>
      </c>
      <c r="L93" s="241" t="s">
        <v>425</v>
      </c>
      <c r="M93" s="121">
        <v>59.5</v>
      </c>
      <c r="N93" s="41" t="s">
        <v>389</v>
      </c>
      <c r="O93" s="212" t="s">
        <v>378</v>
      </c>
      <c r="P93" s="121">
        <v>8</v>
      </c>
      <c r="Q93" s="91" t="s">
        <v>390</v>
      </c>
      <c r="R93" s="242" t="s">
        <v>427</v>
      </c>
      <c r="S93" s="221">
        <v>0.5</v>
      </c>
      <c r="T93" s="124">
        <v>32</v>
      </c>
      <c r="U93" s="121" t="s">
        <v>458</v>
      </c>
      <c r="V93" s="121" t="s">
        <v>458</v>
      </c>
      <c r="W93" s="81" t="s">
        <v>458</v>
      </c>
      <c r="X93" s="81" t="s">
        <v>458</v>
      </c>
      <c r="Y93" s="73" t="s">
        <v>458</v>
      </c>
      <c r="Z93" s="73" t="s">
        <v>458</v>
      </c>
      <c r="AA93" s="188">
        <v>153.67346000000001</v>
      </c>
      <c r="AB93" s="81" t="s">
        <v>458</v>
      </c>
      <c r="AC93" s="81" t="s">
        <v>458</v>
      </c>
      <c r="AD93" s="81" t="s">
        <v>458</v>
      </c>
      <c r="AE93" s="81" t="s">
        <v>458</v>
      </c>
      <c r="AF93" s="81" t="s">
        <v>458</v>
      </c>
      <c r="AG93" s="295">
        <v>1.1772</v>
      </c>
      <c r="AH93" s="78" t="s">
        <v>109</v>
      </c>
      <c r="AI93" s="81" t="s">
        <v>458</v>
      </c>
      <c r="AJ93" s="152" t="s">
        <v>245</v>
      </c>
      <c r="AK93" s="197" t="s">
        <v>458</v>
      </c>
      <c r="AL93" s="197" t="s">
        <v>458</v>
      </c>
      <c r="AM93" s="197" t="s">
        <v>458</v>
      </c>
      <c r="AN93" s="197" t="s">
        <v>458</v>
      </c>
      <c r="AO93" s="197" t="s">
        <v>458</v>
      </c>
      <c r="AP93" s="73" t="s">
        <v>458</v>
      </c>
      <c r="AQ93" s="197" t="s">
        <v>458</v>
      </c>
      <c r="AR93" s="197" t="s">
        <v>458</v>
      </c>
      <c r="AS93" s="197" t="s">
        <v>458</v>
      </c>
      <c r="AT93" s="73" t="s">
        <v>458</v>
      </c>
      <c r="AU93" s="41">
        <v>49</v>
      </c>
    </row>
    <row r="94" spans="1:47" ht="33" thickBot="1" x14ac:dyDescent="0.25">
      <c r="A94" s="21">
        <v>10</v>
      </c>
      <c r="B94" s="29">
        <v>9</v>
      </c>
      <c r="C94" s="29" t="s">
        <v>242</v>
      </c>
      <c r="D94" s="41" t="s">
        <v>38</v>
      </c>
      <c r="E94" s="45" t="s">
        <v>133</v>
      </c>
      <c r="F94" s="45" t="s">
        <v>134</v>
      </c>
      <c r="G94" s="45">
        <v>88</v>
      </c>
      <c r="H94" s="45">
        <v>12</v>
      </c>
      <c r="I94" s="45">
        <f t="shared" si="1"/>
        <v>100</v>
      </c>
      <c r="J94" s="121" t="s">
        <v>111</v>
      </c>
      <c r="K94" s="123" t="s">
        <v>237</v>
      </c>
      <c r="L94" s="241" t="s">
        <v>425</v>
      </c>
      <c r="M94" s="121">
        <v>49.5</v>
      </c>
      <c r="N94" s="41" t="s">
        <v>389</v>
      </c>
      <c r="O94" s="212" t="s">
        <v>378</v>
      </c>
      <c r="P94" s="121">
        <v>10</v>
      </c>
      <c r="Q94" s="91" t="s">
        <v>390</v>
      </c>
      <c r="R94" s="242" t="s">
        <v>427</v>
      </c>
      <c r="S94" s="221">
        <v>0.5</v>
      </c>
      <c r="T94" s="124">
        <v>40</v>
      </c>
      <c r="U94" s="121" t="s">
        <v>458</v>
      </c>
      <c r="V94" s="121" t="s">
        <v>458</v>
      </c>
      <c r="W94" s="81" t="s">
        <v>458</v>
      </c>
      <c r="X94" s="81" t="s">
        <v>458</v>
      </c>
      <c r="Y94" s="73" t="s">
        <v>458</v>
      </c>
      <c r="Z94" s="73" t="s">
        <v>458</v>
      </c>
      <c r="AA94" s="188">
        <v>174.67899</v>
      </c>
      <c r="AB94" s="81" t="s">
        <v>458</v>
      </c>
      <c r="AC94" s="81" t="s">
        <v>458</v>
      </c>
      <c r="AD94" s="81" t="s">
        <v>458</v>
      </c>
      <c r="AE94" s="81" t="s">
        <v>458</v>
      </c>
      <c r="AF94" s="81" t="s">
        <v>458</v>
      </c>
      <c r="AG94" s="295">
        <v>1.1854</v>
      </c>
      <c r="AH94" s="78" t="s">
        <v>109</v>
      </c>
      <c r="AI94" s="81" t="s">
        <v>458</v>
      </c>
      <c r="AJ94" s="152" t="s">
        <v>245</v>
      </c>
      <c r="AK94" s="197" t="s">
        <v>458</v>
      </c>
      <c r="AL94" s="197" t="s">
        <v>458</v>
      </c>
      <c r="AM94" s="197" t="s">
        <v>458</v>
      </c>
      <c r="AN94" s="197" t="s">
        <v>458</v>
      </c>
      <c r="AO94" s="197" t="s">
        <v>458</v>
      </c>
      <c r="AP94" s="73" t="s">
        <v>458</v>
      </c>
      <c r="AQ94" s="197" t="s">
        <v>458</v>
      </c>
      <c r="AR94" s="197" t="s">
        <v>458</v>
      </c>
      <c r="AS94" s="197" t="s">
        <v>458</v>
      </c>
      <c r="AT94" s="73" t="s">
        <v>458</v>
      </c>
      <c r="AU94" s="41">
        <v>56</v>
      </c>
    </row>
    <row r="95" spans="1:47" ht="32" x14ac:dyDescent="0.2">
      <c r="A95" s="21">
        <v>10</v>
      </c>
      <c r="B95" s="29">
        <v>10</v>
      </c>
      <c r="C95" s="29" t="s">
        <v>242</v>
      </c>
      <c r="D95" s="41" t="s">
        <v>37</v>
      </c>
      <c r="E95" s="45" t="s">
        <v>133</v>
      </c>
      <c r="F95" s="45" t="s">
        <v>134</v>
      </c>
      <c r="G95" s="45">
        <v>88</v>
      </c>
      <c r="H95" s="45">
        <v>12</v>
      </c>
      <c r="I95" s="45">
        <f t="shared" si="1"/>
        <v>100</v>
      </c>
      <c r="J95" s="121" t="s">
        <v>111</v>
      </c>
      <c r="K95" s="123" t="s">
        <v>237</v>
      </c>
      <c r="L95" s="241" t="s">
        <v>425</v>
      </c>
      <c r="M95" s="121">
        <v>39.5</v>
      </c>
      <c r="N95" s="41" t="s">
        <v>389</v>
      </c>
      <c r="O95" s="212" t="s">
        <v>378</v>
      </c>
      <c r="P95" s="121">
        <v>12</v>
      </c>
      <c r="Q95" s="91" t="s">
        <v>390</v>
      </c>
      <c r="R95" s="242" t="s">
        <v>427</v>
      </c>
      <c r="S95" s="221">
        <v>0.5</v>
      </c>
      <c r="T95" s="124">
        <v>48</v>
      </c>
      <c r="U95" s="121" t="s">
        <v>458</v>
      </c>
      <c r="V95" s="121" t="s">
        <v>458</v>
      </c>
      <c r="W95" s="81" t="s">
        <v>458</v>
      </c>
      <c r="X95" s="81" t="s">
        <v>458</v>
      </c>
      <c r="Y95" s="73" t="s">
        <v>458</v>
      </c>
      <c r="Z95" s="73" t="s">
        <v>458</v>
      </c>
      <c r="AA95" s="188">
        <v>195.68450999999999</v>
      </c>
      <c r="AB95" s="81" t="s">
        <v>458</v>
      </c>
      <c r="AC95" s="81" t="s">
        <v>458</v>
      </c>
      <c r="AD95" s="81" t="s">
        <v>458</v>
      </c>
      <c r="AE95" s="81" t="s">
        <v>458</v>
      </c>
      <c r="AF95" s="81" t="s">
        <v>458</v>
      </c>
      <c r="AG95" s="296">
        <v>1.1936</v>
      </c>
      <c r="AH95" s="78" t="s">
        <v>109</v>
      </c>
      <c r="AI95" s="81" t="s">
        <v>458</v>
      </c>
      <c r="AJ95" s="152" t="s">
        <v>245</v>
      </c>
      <c r="AK95" s="197" t="s">
        <v>458</v>
      </c>
      <c r="AL95" s="197" t="s">
        <v>458</v>
      </c>
      <c r="AM95" s="197" t="s">
        <v>458</v>
      </c>
      <c r="AN95" s="197" t="s">
        <v>458</v>
      </c>
      <c r="AO95" s="197" t="s">
        <v>458</v>
      </c>
      <c r="AP95" s="73" t="s">
        <v>458</v>
      </c>
      <c r="AQ95" s="197" t="s">
        <v>458</v>
      </c>
      <c r="AR95" s="197" t="s">
        <v>458</v>
      </c>
      <c r="AS95" s="197" t="s">
        <v>458</v>
      </c>
      <c r="AT95" s="73" t="s">
        <v>458</v>
      </c>
      <c r="AU95" s="41">
        <v>59</v>
      </c>
    </row>
    <row r="96" spans="1:47" ht="32" x14ac:dyDescent="0.2">
      <c r="A96" s="21">
        <v>10</v>
      </c>
      <c r="B96" s="29">
        <v>11</v>
      </c>
      <c r="C96" s="29" t="s">
        <v>242</v>
      </c>
      <c r="D96" s="41" t="s">
        <v>35</v>
      </c>
      <c r="E96" s="45" t="s">
        <v>133</v>
      </c>
      <c r="F96" s="45" t="s">
        <v>134</v>
      </c>
      <c r="G96" s="45">
        <v>88</v>
      </c>
      <c r="H96" s="45">
        <v>12</v>
      </c>
      <c r="I96" s="45">
        <f t="shared" si="1"/>
        <v>100</v>
      </c>
      <c r="J96" s="121" t="s">
        <v>111</v>
      </c>
      <c r="K96" s="123" t="s">
        <v>237</v>
      </c>
      <c r="L96" s="241" t="s">
        <v>425</v>
      </c>
      <c r="M96" s="121">
        <v>19.5</v>
      </c>
      <c r="N96" s="41" t="s">
        <v>389</v>
      </c>
      <c r="O96" s="212" t="s">
        <v>378</v>
      </c>
      <c r="P96" s="121">
        <v>16</v>
      </c>
      <c r="Q96" s="91" t="s">
        <v>390</v>
      </c>
      <c r="R96" s="242" t="s">
        <v>427</v>
      </c>
      <c r="S96" s="221">
        <v>0.5</v>
      </c>
      <c r="T96" s="124">
        <v>64</v>
      </c>
      <c r="U96" s="121" t="s">
        <v>458</v>
      </c>
      <c r="V96" s="121" t="s">
        <v>458</v>
      </c>
      <c r="W96" s="81" t="s">
        <v>458</v>
      </c>
      <c r="X96" s="81" t="s">
        <v>458</v>
      </c>
      <c r="Y96" s="73" t="s">
        <v>458</v>
      </c>
      <c r="Z96" s="73" t="s">
        <v>458</v>
      </c>
      <c r="AA96" s="188">
        <v>237.69557</v>
      </c>
      <c r="AB96" s="81" t="s">
        <v>458</v>
      </c>
      <c r="AC96" s="81" t="s">
        <v>458</v>
      </c>
      <c r="AD96" s="81" t="s">
        <v>458</v>
      </c>
      <c r="AE96" s="81" t="s">
        <v>458</v>
      </c>
      <c r="AF96" s="81" t="s">
        <v>458</v>
      </c>
      <c r="AG96" s="296">
        <v>1.21</v>
      </c>
      <c r="AH96" s="78" t="s">
        <v>109</v>
      </c>
      <c r="AI96" s="81" t="s">
        <v>458</v>
      </c>
      <c r="AJ96" s="152" t="s">
        <v>245</v>
      </c>
      <c r="AK96" s="197" t="s">
        <v>458</v>
      </c>
      <c r="AL96" s="197" t="s">
        <v>458</v>
      </c>
      <c r="AM96" s="197" t="s">
        <v>458</v>
      </c>
      <c r="AN96" s="197" t="s">
        <v>458</v>
      </c>
      <c r="AO96" s="197" t="s">
        <v>458</v>
      </c>
      <c r="AP96" s="73" t="s">
        <v>458</v>
      </c>
      <c r="AQ96" s="197" t="s">
        <v>458</v>
      </c>
      <c r="AR96" s="197" t="s">
        <v>458</v>
      </c>
      <c r="AS96" s="197" t="s">
        <v>458</v>
      </c>
      <c r="AT96" s="73" t="s">
        <v>458</v>
      </c>
      <c r="AU96" s="41">
        <v>62</v>
      </c>
    </row>
    <row r="97" spans="1:47" s="18" customFormat="1" ht="32" x14ac:dyDescent="0.2">
      <c r="A97" s="23">
        <v>10</v>
      </c>
      <c r="B97" s="30">
        <v>12</v>
      </c>
      <c r="C97" s="30" t="s">
        <v>246</v>
      </c>
      <c r="D97" s="43" t="s">
        <v>33</v>
      </c>
      <c r="E97" s="46" t="s">
        <v>133</v>
      </c>
      <c r="F97" s="46" t="s">
        <v>134</v>
      </c>
      <c r="G97" s="46">
        <v>88</v>
      </c>
      <c r="H97" s="46">
        <v>12</v>
      </c>
      <c r="I97" s="46">
        <f t="shared" si="1"/>
        <v>100</v>
      </c>
      <c r="J97" s="125" t="s">
        <v>111</v>
      </c>
      <c r="K97" s="256" t="s">
        <v>458</v>
      </c>
      <c r="L97" s="268" t="s">
        <v>458</v>
      </c>
      <c r="M97" s="125">
        <v>0</v>
      </c>
      <c r="N97" s="43" t="s">
        <v>389</v>
      </c>
      <c r="O97" s="213" t="s">
        <v>378</v>
      </c>
      <c r="P97" s="125">
        <v>20</v>
      </c>
      <c r="Q97" s="100" t="s">
        <v>390</v>
      </c>
      <c r="R97" s="243" t="s">
        <v>427</v>
      </c>
      <c r="S97" s="222">
        <v>0.5</v>
      </c>
      <c r="T97" s="126">
        <v>79.5</v>
      </c>
      <c r="U97" s="125" t="s">
        <v>458</v>
      </c>
      <c r="V97" s="125" t="s">
        <v>458</v>
      </c>
      <c r="W97" s="89" t="s">
        <v>458</v>
      </c>
      <c r="X97" s="89" t="s">
        <v>458</v>
      </c>
      <c r="Y97" s="74" t="s">
        <v>458</v>
      </c>
      <c r="Z97" s="74" t="s">
        <v>458</v>
      </c>
      <c r="AA97" s="189">
        <v>278.31</v>
      </c>
      <c r="AB97" s="89" t="s">
        <v>458</v>
      </c>
      <c r="AC97" s="89" t="s">
        <v>458</v>
      </c>
      <c r="AD97" s="89" t="s">
        <v>458</v>
      </c>
      <c r="AE97" s="89" t="s">
        <v>458</v>
      </c>
      <c r="AF97" s="89" t="s">
        <v>458</v>
      </c>
      <c r="AG97" s="297">
        <v>1.2259</v>
      </c>
      <c r="AH97" s="79" t="s">
        <v>109</v>
      </c>
      <c r="AI97" s="89" t="s">
        <v>458</v>
      </c>
      <c r="AJ97" s="192" t="s">
        <v>245</v>
      </c>
      <c r="AK97" s="198" t="s">
        <v>458</v>
      </c>
      <c r="AL97" s="198" t="s">
        <v>458</v>
      </c>
      <c r="AM97" s="198" t="s">
        <v>458</v>
      </c>
      <c r="AN97" s="198" t="s">
        <v>458</v>
      </c>
      <c r="AO97" s="198" t="s">
        <v>458</v>
      </c>
      <c r="AP97" s="74" t="s">
        <v>458</v>
      </c>
      <c r="AQ97" s="198" t="s">
        <v>458</v>
      </c>
      <c r="AR97" s="198" t="s">
        <v>458</v>
      </c>
      <c r="AS97" s="198" t="s">
        <v>458</v>
      </c>
      <c r="AT97" s="74" t="s">
        <v>458</v>
      </c>
      <c r="AU97" s="43">
        <v>68</v>
      </c>
    </row>
    <row r="98" spans="1:47" ht="17" thickBot="1" x14ac:dyDescent="0.25">
      <c r="A98" s="25">
        <v>11</v>
      </c>
      <c r="B98" s="31">
        <v>1</v>
      </c>
      <c r="C98" s="31" t="s">
        <v>29</v>
      </c>
      <c r="D98" s="41" t="s">
        <v>261</v>
      </c>
      <c r="E98" s="45" t="s">
        <v>133</v>
      </c>
      <c r="F98" s="45" t="s">
        <v>134</v>
      </c>
      <c r="G98" s="362" t="s">
        <v>474</v>
      </c>
      <c r="H98" s="362" t="s">
        <v>475</v>
      </c>
      <c r="I98" s="45">
        <f t="shared" si="1"/>
        <v>100</v>
      </c>
      <c r="J98" s="160" t="s">
        <v>108</v>
      </c>
      <c r="K98" s="270" t="s">
        <v>458</v>
      </c>
      <c r="L98" s="235" t="s">
        <v>458</v>
      </c>
      <c r="M98" s="77">
        <v>0</v>
      </c>
      <c r="N98" s="131" t="s">
        <v>458</v>
      </c>
      <c r="O98" s="218" t="s">
        <v>458</v>
      </c>
      <c r="P98" s="77">
        <v>0</v>
      </c>
      <c r="Q98" s="123" t="s">
        <v>458</v>
      </c>
      <c r="R98" s="160" t="s">
        <v>458</v>
      </c>
      <c r="S98" s="53">
        <v>0</v>
      </c>
      <c r="T98" s="53">
        <v>100</v>
      </c>
      <c r="U98" s="121" t="s">
        <v>458</v>
      </c>
      <c r="V98" s="121" t="s">
        <v>458</v>
      </c>
      <c r="W98" s="52">
        <v>650</v>
      </c>
      <c r="X98" s="81" t="s">
        <v>458</v>
      </c>
      <c r="Y98" s="73" t="s">
        <v>458</v>
      </c>
      <c r="Z98" s="73" t="s">
        <v>458</v>
      </c>
      <c r="AA98" s="81" t="s">
        <v>458</v>
      </c>
      <c r="AB98" s="81" t="s">
        <v>458</v>
      </c>
      <c r="AC98" s="81" t="s">
        <v>458</v>
      </c>
      <c r="AD98" s="81" t="s">
        <v>458</v>
      </c>
      <c r="AE98" s="81" t="s">
        <v>458</v>
      </c>
      <c r="AF98" s="81" t="s">
        <v>458</v>
      </c>
      <c r="AG98" s="286">
        <v>1.22</v>
      </c>
      <c r="AH98" s="78" t="s">
        <v>109</v>
      </c>
      <c r="AI98" s="81" t="s">
        <v>458</v>
      </c>
      <c r="AJ98" s="121" t="s">
        <v>257</v>
      </c>
      <c r="AK98" s="197" t="s">
        <v>458</v>
      </c>
      <c r="AL98" s="197" t="s">
        <v>458</v>
      </c>
      <c r="AM98" s="197" t="s">
        <v>458</v>
      </c>
      <c r="AN98" s="197" t="s">
        <v>458</v>
      </c>
      <c r="AO98" s="197" t="s">
        <v>458</v>
      </c>
      <c r="AP98" s="73" t="s">
        <v>458</v>
      </c>
      <c r="AQ98" s="197" t="s">
        <v>458</v>
      </c>
      <c r="AR98" s="197" t="s">
        <v>458</v>
      </c>
      <c r="AS98" s="197" t="s">
        <v>458</v>
      </c>
      <c r="AT98" s="73" t="s">
        <v>458</v>
      </c>
      <c r="AU98" s="197" t="s">
        <v>458</v>
      </c>
    </row>
    <row r="99" spans="1:47" ht="33" thickBot="1" x14ac:dyDescent="0.25">
      <c r="A99" s="25">
        <v>11</v>
      </c>
      <c r="B99" s="31">
        <v>2</v>
      </c>
      <c r="C99" s="31" t="s">
        <v>248</v>
      </c>
      <c r="D99" s="41" t="s">
        <v>262</v>
      </c>
      <c r="E99" s="45" t="s">
        <v>133</v>
      </c>
      <c r="F99" s="45" t="s">
        <v>134</v>
      </c>
      <c r="G99" s="362" t="s">
        <v>474</v>
      </c>
      <c r="H99" s="362" t="s">
        <v>475</v>
      </c>
      <c r="I99" s="45">
        <f t="shared" si="1"/>
        <v>100</v>
      </c>
      <c r="J99" s="131" t="s">
        <v>111</v>
      </c>
      <c r="K99" s="270" t="s">
        <v>259</v>
      </c>
      <c r="L99" s="230" t="s">
        <v>378</v>
      </c>
      <c r="M99" s="77">
        <v>5</v>
      </c>
      <c r="N99" s="242" t="s">
        <v>260</v>
      </c>
      <c r="O99" s="239" t="s">
        <v>423</v>
      </c>
      <c r="P99" s="77">
        <v>0.1</v>
      </c>
      <c r="Q99" s="123" t="s">
        <v>458</v>
      </c>
      <c r="R99" s="160" t="s">
        <v>458</v>
      </c>
      <c r="S99" s="53">
        <v>0</v>
      </c>
      <c r="T99" s="53">
        <v>94.9</v>
      </c>
      <c r="U99" s="121" t="s">
        <v>458</v>
      </c>
      <c r="V99" s="121" t="s">
        <v>458</v>
      </c>
      <c r="W99" s="81" t="s">
        <v>458</v>
      </c>
      <c r="X99" s="81" t="s">
        <v>458</v>
      </c>
      <c r="Y99" s="73" t="s">
        <v>458</v>
      </c>
      <c r="Z99" s="73" t="s">
        <v>458</v>
      </c>
      <c r="AA99" s="81" t="s">
        <v>458</v>
      </c>
      <c r="AB99" s="81" t="s">
        <v>458</v>
      </c>
      <c r="AC99" s="81" t="s">
        <v>458</v>
      </c>
      <c r="AD99" s="81" t="s">
        <v>458</v>
      </c>
      <c r="AE99" s="81" t="s">
        <v>458</v>
      </c>
      <c r="AF99" s="81" t="s">
        <v>458</v>
      </c>
      <c r="AG99" s="291" t="s">
        <v>458</v>
      </c>
      <c r="AH99" s="81" t="s">
        <v>458</v>
      </c>
      <c r="AI99" s="81" t="s">
        <v>458</v>
      </c>
      <c r="AJ99" s="121" t="s">
        <v>257</v>
      </c>
      <c r="AK99" s="197" t="s">
        <v>458</v>
      </c>
      <c r="AL99" s="197" t="s">
        <v>458</v>
      </c>
      <c r="AM99" s="197" t="s">
        <v>458</v>
      </c>
      <c r="AN99" s="197" t="s">
        <v>458</v>
      </c>
      <c r="AO99" s="197" t="s">
        <v>458</v>
      </c>
      <c r="AP99" s="73" t="s">
        <v>458</v>
      </c>
      <c r="AQ99" s="197" t="s">
        <v>458</v>
      </c>
      <c r="AR99" s="197" t="s">
        <v>458</v>
      </c>
      <c r="AS99" s="197" t="s">
        <v>458</v>
      </c>
      <c r="AT99" s="73" t="s">
        <v>458</v>
      </c>
      <c r="AU99" s="197" t="s">
        <v>458</v>
      </c>
    </row>
    <row r="100" spans="1:47" ht="33" thickBot="1" x14ac:dyDescent="0.25">
      <c r="A100" s="25">
        <v>11</v>
      </c>
      <c r="B100" s="31">
        <v>3</v>
      </c>
      <c r="C100" s="31" t="s">
        <v>249</v>
      </c>
      <c r="D100" s="41" t="s">
        <v>263</v>
      </c>
      <c r="E100" s="45" t="s">
        <v>133</v>
      </c>
      <c r="F100" s="45" t="s">
        <v>134</v>
      </c>
      <c r="G100" s="362" t="s">
        <v>474</v>
      </c>
      <c r="H100" s="362" t="s">
        <v>475</v>
      </c>
      <c r="I100" s="45">
        <f t="shared" si="1"/>
        <v>100</v>
      </c>
      <c r="J100" s="131" t="s">
        <v>111</v>
      </c>
      <c r="K100" s="270" t="s">
        <v>259</v>
      </c>
      <c r="L100" s="230" t="s">
        <v>378</v>
      </c>
      <c r="M100" s="77">
        <v>5</v>
      </c>
      <c r="N100" s="242" t="s">
        <v>260</v>
      </c>
      <c r="O100" s="239" t="s">
        <v>423</v>
      </c>
      <c r="P100" s="77">
        <v>0.3</v>
      </c>
      <c r="Q100" s="123" t="s">
        <v>458</v>
      </c>
      <c r="R100" s="160" t="s">
        <v>458</v>
      </c>
      <c r="S100" s="53">
        <v>0</v>
      </c>
      <c r="T100" s="53">
        <v>94.7</v>
      </c>
      <c r="U100" s="121" t="s">
        <v>458</v>
      </c>
      <c r="V100" s="121" t="s">
        <v>458</v>
      </c>
      <c r="W100" s="81" t="s">
        <v>458</v>
      </c>
      <c r="X100" s="81" t="s">
        <v>458</v>
      </c>
      <c r="Y100" s="73" t="s">
        <v>458</v>
      </c>
      <c r="Z100" s="73" t="s">
        <v>458</v>
      </c>
      <c r="AA100" s="81" t="s">
        <v>458</v>
      </c>
      <c r="AB100" s="81" t="s">
        <v>458</v>
      </c>
      <c r="AC100" s="81" t="s">
        <v>458</v>
      </c>
      <c r="AD100" s="81" t="s">
        <v>458</v>
      </c>
      <c r="AE100" s="81" t="s">
        <v>458</v>
      </c>
      <c r="AF100" s="81" t="s">
        <v>458</v>
      </c>
      <c r="AG100" s="291" t="s">
        <v>458</v>
      </c>
      <c r="AH100" s="81" t="s">
        <v>458</v>
      </c>
      <c r="AI100" s="81" t="s">
        <v>458</v>
      </c>
      <c r="AJ100" s="121" t="s">
        <v>257</v>
      </c>
      <c r="AK100" s="197" t="s">
        <v>458</v>
      </c>
      <c r="AL100" s="197" t="s">
        <v>458</v>
      </c>
      <c r="AM100" s="197" t="s">
        <v>458</v>
      </c>
      <c r="AN100" s="197" t="s">
        <v>458</v>
      </c>
      <c r="AO100" s="197" t="s">
        <v>458</v>
      </c>
      <c r="AP100" s="73" t="s">
        <v>458</v>
      </c>
      <c r="AQ100" s="197" t="s">
        <v>458</v>
      </c>
      <c r="AR100" s="197" t="s">
        <v>458</v>
      </c>
      <c r="AS100" s="197" t="s">
        <v>458</v>
      </c>
      <c r="AT100" s="73" t="s">
        <v>458</v>
      </c>
      <c r="AU100" s="197" t="s">
        <v>458</v>
      </c>
    </row>
    <row r="101" spans="1:47" ht="33" thickBot="1" x14ac:dyDescent="0.25">
      <c r="A101" s="25">
        <v>11</v>
      </c>
      <c r="B101" s="31">
        <v>4</v>
      </c>
      <c r="C101" s="31" t="s">
        <v>250</v>
      </c>
      <c r="D101" s="41" t="s">
        <v>264</v>
      </c>
      <c r="E101" s="45" t="s">
        <v>133</v>
      </c>
      <c r="F101" s="45" t="s">
        <v>134</v>
      </c>
      <c r="G101" s="362" t="s">
        <v>474</v>
      </c>
      <c r="H101" s="362" t="s">
        <v>475</v>
      </c>
      <c r="I101" s="45">
        <f t="shared" si="1"/>
        <v>100</v>
      </c>
      <c r="J101" s="131" t="s">
        <v>111</v>
      </c>
      <c r="K101" s="270" t="s">
        <v>259</v>
      </c>
      <c r="L101" s="230" t="s">
        <v>378</v>
      </c>
      <c r="M101" s="77">
        <v>5</v>
      </c>
      <c r="N101" s="242" t="s">
        <v>260</v>
      </c>
      <c r="O101" s="239" t="s">
        <v>423</v>
      </c>
      <c r="P101" s="77">
        <v>0.5</v>
      </c>
      <c r="Q101" s="123" t="s">
        <v>458</v>
      </c>
      <c r="R101" s="160" t="s">
        <v>458</v>
      </c>
      <c r="S101" s="53">
        <v>0</v>
      </c>
      <c r="T101" s="53">
        <v>94.5</v>
      </c>
      <c r="U101" s="121" t="s">
        <v>458</v>
      </c>
      <c r="V101" s="121" t="s">
        <v>458</v>
      </c>
      <c r="W101" s="81" t="s">
        <v>458</v>
      </c>
      <c r="X101" s="81" t="s">
        <v>458</v>
      </c>
      <c r="Y101" s="73" t="s">
        <v>458</v>
      </c>
      <c r="Z101" s="73" t="s">
        <v>458</v>
      </c>
      <c r="AA101" s="81" t="s">
        <v>458</v>
      </c>
      <c r="AB101" s="81" t="s">
        <v>458</v>
      </c>
      <c r="AC101" s="81" t="s">
        <v>458</v>
      </c>
      <c r="AD101" s="81" t="s">
        <v>458</v>
      </c>
      <c r="AE101" s="81" t="s">
        <v>458</v>
      </c>
      <c r="AF101" s="81" t="s">
        <v>458</v>
      </c>
      <c r="AG101" s="291" t="s">
        <v>458</v>
      </c>
      <c r="AH101" s="81" t="s">
        <v>458</v>
      </c>
      <c r="AI101" s="81" t="s">
        <v>458</v>
      </c>
      <c r="AJ101" s="121" t="s">
        <v>257</v>
      </c>
      <c r="AK101" s="197" t="s">
        <v>458</v>
      </c>
      <c r="AL101" s="197" t="s">
        <v>458</v>
      </c>
      <c r="AM101" s="197" t="s">
        <v>458</v>
      </c>
      <c r="AN101" s="197" t="s">
        <v>458</v>
      </c>
      <c r="AO101" s="197" t="s">
        <v>458</v>
      </c>
      <c r="AP101" s="73" t="s">
        <v>458</v>
      </c>
      <c r="AQ101" s="197" t="s">
        <v>458</v>
      </c>
      <c r="AR101" s="197" t="s">
        <v>458</v>
      </c>
      <c r="AS101" s="197" t="s">
        <v>458</v>
      </c>
      <c r="AT101" s="73" t="s">
        <v>458</v>
      </c>
      <c r="AU101" s="197" t="s">
        <v>458</v>
      </c>
    </row>
    <row r="102" spans="1:47" ht="33" thickBot="1" x14ac:dyDescent="0.25">
      <c r="A102" s="25">
        <v>11</v>
      </c>
      <c r="B102" s="31">
        <v>5</v>
      </c>
      <c r="C102" s="31" t="s">
        <v>251</v>
      </c>
      <c r="D102" s="41" t="s">
        <v>265</v>
      </c>
      <c r="E102" s="45" t="s">
        <v>133</v>
      </c>
      <c r="F102" s="45" t="s">
        <v>134</v>
      </c>
      <c r="G102" s="362" t="s">
        <v>474</v>
      </c>
      <c r="H102" s="362" t="s">
        <v>475</v>
      </c>
      <c r="I102" s="45">
        <f t="shared" si="1"/>
        <v>100</v>
      </c>
      <c r="J102" s="131" t="s">
        <v>111</v>
      </c>
      <c r="K102" s="270" t="s">
        <v>259</v>
      </c>
      <c r="L102" s="230" t="s">
        <v>378</v>
      </c>
      <c r="M102" s="77">
        <v>7</v>
      </c>
      <c r="N102" s="242" t="s">
        <v>260</v>
      </c>
      <c r="O102" s="239" t="s">
        <v>423</v>
      </c>
      <c r="P102" s="77">
        <v>0.1</v>
      </c>
      <c r="Q102" s="123" t="s">
        <v>458</v>
      </c>
      <c r="R102" s="160" t="s">
        <v>458</v>
      </c>
      <c r="S102" s="53">
        <v>0</v>
      </c>
      <c r="T102" s="53">
        <v>92.9</v>
      </c>
      <c r="U102" s="121" t="s">
        <v>458</v>
      </c>
      <c r="V102" s="121" t="s">
        <v>458</v>
      </c>
      <c r="W102" s="81" t="s">
        <v>458</v>
      </c>
      <c r="X102" s="81" t="s">
        <v>458</v>
      </c>
      <c r="Y102" s="73" t="s">
        <v>458</v>
      </c>
      <c r="Z102" s="73" t="s">
        <v>458</v>
      </c>
      <c r="AA102" s="81" t="s">
        <v>458</v>
      </c>
      <c r="AB102" s="81" t="s">
        <v>458</v>
      </c>
      <c r="AC102" s="81" t="s">
        <v>458</v>
      </c>
      <c r="AD102" s="81" t="s">
        <v>458</v>
      </c>
      <c r="AE102" s="81" t="s">
        <v>458</v>
      </c>
      <c r="AF102" s="81" t="s">
        <v>458</v>
      </c>
      <c r="AG102" s="291" t="s">
        <v>458</v>
      </c>
      <c r="AH102" s="81" t="s">
        <v>458</v>
      </c>
      <c r="AI102" s="81" t="s">
        <v>458</v>
      </c>
      <c r="AJ102" s="121" t="s">
        <v>257</v>
      </c>
      <c r="AK102" s="197" t="s">
        <v>458</v>
      </c>
      <c r="AL102" s="197" t="s">
        <v>458</v>
      </c>
      <c r="AM102" s="197" t="s">
        <v>458</v>
      </c>
      <c r="AN102" s="197" t="s">
        <v>458</v>
      </c>
      <c r="AO102" s="197" t="s">
        <v>458</v>
      </c>
      <c r="AP102" s="73" t="s">
        <v>458</v>
      </c>
      <c r="AQ102" s="197" t="s">
        <v>458</v>
      </c>
      <c r="AR102" s="197" t="s">
        <v>458</v>
      </c>
      <c r="AS102" s="197" t="s">
        <v>458</v>
      </c>
      <c r="AT102" s="73" t="s">
        <v>458</v>
      </c>
      <c r="AU102" s="197" t="s">
        <v>458</v>
      </c>
    </row>
    <row r="103" spans="1:47" ht="33" thickBot="1" x14ac:dyDescent="0.25">
      <c r="A103" s="25">
        <v>11</v>
      </c>
      <c r="B103" s="31">
        <v>6</v>
      </c>
      <c r="C103" s="31" t="s">
        <v>252</v>
      </c>
      <c r="D103" s="41" t="s">
        <v>266</v>
      </c>
      <c r="E103" s="45" t="s">
        <v>133</v>
      </c>
      <c r="F103" s="45" t="s">
        <v>134</v>
      </c>
      <c r="G103" s="362" t="s">
        <v>474</v>
      </c>
      <c r="H103" s="362" t="s">
        <v>475</v>
      </c>
      <c r="I103" s="45">
        <f t="shared" si="1"/>
        <v>100</v>
      </c>
      <c r="J103" s="131" t="s">
        <v>111</v>
      </c>
      <c r="K103" s="270" t="s">
        <v>259</v>
      </c>
      <c r="L103" s="230" t="s">
        <v>378</v>
      </c>
      <c r="M103" s="77">
        <v>7</v>
      </c>
      <c r="N103" s="242" t="s">
        <v>260</v>
      </c>
      <c r="O103" s="239" t="s">
        <v>423</v>
      </c>
      <c r="P103" s="77">
        <v>0.3</v>
      </c>
      <c r="Q103" s="123" t="s">
        <v>458</v>
      </c>
      <c r="R103" s="160" t="s">
        <v>458</v>
      </c>
      <c r="S103" s="53">
        <v>0</v>
      </c>
      <c r="T103" s="53">
        <v>92.7</v>
      </c>
      <c r="U103" s="121" t="s">
        <v>458</v>
      </c>
      <c r="V103" s="121" t="s">
        <v>458</v>
      </c>
      <c r="W103" s="81" t="s">
        <v>458</v>
      </c>
      <c r="X103" s="81" t="s">
        <v>458</v>
      </c>
      <c r="Y103" s="73" t="s">
        <v>458</v>
      </c>
      <c r="Z103" s="73" t="s">
        <v>458</v>
      </c>
      <c r="AA103" s="81" t="s">
        <v>458</v>
      </c>
      <c r="AB103" s="81" t="s">
        <v>458</v>
      </c>
      <c r="AC103" s="81" t="s">
        <v>458</v>
      </c>
      <c r="AD103" s="81" t="s">
        <v>458</v>
      </c>
      <c r="AE103" s="81" t="s">
        <v>458</v>
      </c>
      <c r="AF103" s="81" t="s">
        <v>458</v>
      </c>
      <c r="AG103" s="291" t="s">
        <v>458</v>
      </c>
      <c r="AH103" s="81" t="s">
        <v>458</v>
      </c>
      <c r="AI103" s="81" t="s">
        <v>458</v>
      </c>
      <c r="AJ103" s="121" t="s">
        <v>257</v>
      </c>
      <c r="AK103" s="197" t="s">
        <v>458</v>
      </c>
      <c r="AL103" s="197" t="s">
        <v>458</v>
      </c>
      <c r="AM103" s="197" t="s">
        <v>458</v>
      </c>
      <c r="AN103" s="197" t="s">
        <v>458</v>
      </c>
      <c r="AO103" s="197" t="s">
        <v>458</v>
      </c>
      <c r="AP103" s="73" t="s">
        <v>458</v>
      </c>
      <c r="AQ103" s="197" t="s">
        <v>458</v>
      </c>
      <c r="AR103" s="197" t="s">
        <v>458</v>
      </c>
      <c r="AS103" s="197" t="s">
        <v>458</v>
      </c>
      <c r="AT103" s="73" t="s">
        <v>458</v>
      </c>
      <c r="AU103" s="197" t="s">
        <v>458</v>
      </c>
    </row>
    <row r="104" spans="1:47" ht="33" thickBot="1" x14ac:dyDescent="0.25">
      <c r="A104" s="25">
        <v>11</v>
      </c>
      <c r="B104" s="31">
        <v>7</v>
      </c>
      <c r="C104" s="31" t="s">
        <v>253</v>
      </c>
      <c r="D104" s="41" t="s">
        <v>267</v>
      </c>
      <c r="E104" s="45" t="s">
        <v>133</v>
      </c>
      <c r="F104" s="45" t="s">
        <v>134</v>
      </c>
      <c r="G104" s="362" t="s">
        <v>474</v>
      </c>
      <c r="H104" s="362" t="s">
        <v>475</v>
      </c>
      <c r="I104" s="45">
        <f t="shared" si="1"/>
        <v>100</v>
      </c>
      <c r="J104" s="131" t="s">
        <v>111</v>
      </c>
      <c r="K104" s="270" t="s">
        <v>259</v>
      </c>
      <c r="L104" s="230" t="s">
        <v>378</v>
      </c>
      <c r="M104" s="77">
        <v>7</v>
      </c>
      <c r="N104" s="242" t="s">
        <v>260</v>
      </c>
      <c r="O104" s="239" t="s">
        <v>423</v>
      </c>
      <c r="P104" s="77">
        <v>0.5</v>
      </c>
      <c r="Q104" s="123" t="s">
        <v>458</v>
      </c>
      <c r="R104" s="160" t="s">
        <v>458</v>
      </c>
      <c r="S104" s="53">
        <v>0</v>
      </c>
      <c r="T104" s="53">
        <v>92.5</v>
      </c>
      <c r="U104" s="121" t="s">
        <v>458</v>
      </c>
      <c r="V104" s="121" t="s">
        <v>458</v>
      </c>
      <c r="W104" s="81" t="s">
        <v>458</v>
      </c>
      <c r="X104" s="81" t="s">
        <v>458</v>
      </c>
      <c r="Y104" s="73" t="s">
        <v>458</v>
      </c>
      <c r="Z104" s="73" t="s">
        <v>458</v>
      </c>
      <c r="AA104" s="81" t="s">
        <v>458</v>
      </c>
      <c r="AB104" s="81" t="s">
        <v>458</v>
      </c>
      <c r="AC104" s="81" t="s">
        <v>458</v>
      </c>
      <c r="AD104" s="81" t="s">
        <v>458</v>
      </c>
      <c r="AE104" s="81" t="s">
        <v>458</v>
      </c>
      <c r="AF104" s="81" t="s">
        <v>458</v>
      </c>
      <c r="AG104" s="291" t="s">
        <v>458</v>
      </c>
      <c r="AH104" s="81" t="s">
        <v>458</v>
      </c>
      <c r="AI104" s="81" t="s">
        <v>458</v>
      </c>
      <c r="AJ104" s="121" t="s">
        <v>257</v>
      </c>
      <c r="AK104" s="197" t="s">
        <v>458</v>
      </c>
      <c r="AL104" s="197" t="s">
        <v>458</v>
      </c>
      <c r="AM104" s="197" t="s">
        <v>458</v>
      </c>
      <c r="AN104" s="197" t="s">
        <v>458</v>
      </c>
      <c r="AO104" s="197" t="s">
        <v>458</v>
      </c>
      <c r="AP104" s="73" t="s">
        <v>458</v>
      </c>
      <c r="AQ104" s="197" t="s">
        <v>458</v>
      </c>
      <c r="AR104" s="197" t="s">
        <v>458</v>
      </c>
      <c r="AS104" s="197" t="s">
        <v>458</v>
      </c>
      <c r="AT104" s="73" t="s">
        <v>458</v>
      </c>
      <c r="AU104" s="197" t="s">
        <v>458</v>
      </c>
    </row>
    <row r="105" spans="1:47" ht="33" thickBot="1" x14ac:dyDescent="0.25">
      <c r="A105" s="25">
        <v>11</v>
      </c>
      <c r="B105" s="31">
        <v>8</v>
      </c>
      <c r="C105" s="31" t="s">
        <v>254</v>
      </c>
      <c r="D105" s="41" t="s">
        <v>268</v>
      </c>
      <c r="E105" s="45" t="s">
        <v>133</v>
      </c>
      <c r="F105" s="45" t="s">
        <v>134</v>
      </c>
      <c r="G105" s="362" t="s">
        <v>474</v>
      </c>
      <c r="H105" s="362" t="s">
        <v>475</v>
      </c>
      <c r="I105" s="45">
        <f t="shared" si="1"/>
        <v>100</v>
      </c>
      <c r="J105" s="131" t="s">
        <v>111</v>
      </c>
      <c r="K105" s="270" t="s">
        <v>259</v>
      </c>
      <c r="L105" s="230" t="s">
        <v>378</v>
      </c>
      <c r="M105" s="77">
        <v>10</v>
      </c>
      <c r="N105" s="242" t="s">
        <v>260</v>
      </c>
      <c r="O105" s="239" t="s">
        <v>423</v>
      </c>
      <c r="P105" s="77">
        <v>0.1</v>
      </c>
      <c r="Q105" s="123" t="s">
        <v>458</v>
      </c>
      <c r="R105" s="160" t="s">
        <v>458</v>
      </c>
      <c r="S105" s="53">
        <v>0</v>
      </c>
      <c r="T105" s="53">
        <v>89.9</v>
      </c>
      <c r="U105" s="121" t="s">
        <v>458</v>
      </c>
      <c r="V105" s="121" t="s">
        <v>458</v>
      </c>
      <c r="W105" s="81" t="s">
        <v>458</v>
      </c>
      <c r="X105" s="81" t="s">
        <v>458</v>
      </c>
      <c r="Y105" s="73" t="s">
        <v>458</v>
      </c>
      <c r="Z105" s="73" t="s">
        <v>458</v>
      </c>
      <c r="AA105" s="81" t="s">
        <v>458</v>
      </c>
      <c r="AB105" s="81" t="s">
        <v>458</v>
      </c>
      <c r="AC105" s="81" t="s">
        <v>458</v>
      </c>
      <c r="AD105" s="81" t="s">
        <v>458</v>
      </c>
      <c r="AE105" s="81" t="s">
        <v>458</v>
      </c>
      <c r="AF105" s="81" t="s">
        <v>458</v>
      </c>
      <c r="AG105" s="291" t="s">
        <v>458</v>
      </c>
      <c r="AH105" s="81" t="s">
        <v>458</v>
      </c>
      <c r="AI105" s="81" t="s">
        <v>458</v>
      </c>
      <c r="AJ105" s="121" t="s">
        <v>257</v>
      </c>
      <c r="AK105" s="197" t="s">
        <v>458</v>
      </c>
      <c r="AL105" s="197" t="s">
        <v>458</v>
      </c>
      <c r="AM105" s="197" t="s">
        <v>458</v>
      </c>
      <c r="AN105" s="197" t="s">
        <v>458</v>
      </c>
      <c r="AO105" s="197" t="s">
        <v>458</v>
      </c>
      <c r="AP105" s="73" t="s">
        <v>458</v>
      </c>
      <c r="AQ105" s="197" t="s">
        <v>458</v>
      </c>
      <c r="AR105" s="197" t="s">
        <v>458</v>
      </c>
      <c r="AS105" s="197" t="s">
        <v>458</v>
      </c>
      <c r="AT105" s="73" t="s">
        <v>458</v>
      </c>
      <c r="AU105" s="197" t="s">
        <v>458</v>
      </c>
    </row>
    <row r="106" spans="1:47" ht="33" thickBot="1" x14ac:dyDescent="0.25">
      <c r="A106" s="25">
        <v>11</v>
      </c>
      <c r="B106" s="31">
        <v>9</v>
      </c>
      <c r="C106" s="31" t="s">
        <v>255</v>
      </c>
      <c r="D106" s="41" t="s">
        <v>269</v>
      </c>
      <c r="E106" s="45" t="s">
        <v>133</v>
      </c>
      <c r="F106" s="45" t="s">
        <v>134</v>
      </c>
      <c r="G106" s="362" t="s">
        <v>474</v>
      </c>
      <c r="H106" s="362" t="s">
        <v>475</v>
      </c>
      <c r="I106" s="45">
        <f t="shared" si="1"/>
        <v>100</v>
      </c>
      <c r="J106" s="131" t="s">
        <v>111</v>
      </c>
      <c r="K106" s="270" t="s">
        <v>259</v>
      </c>
      <c r="L106" s="230" t="s">
        <v>378</v>
      </c>
      <c r="M106" s="77">
        <v>10</v>
      </c>
      <c r="N106" s="242" t="s">
        <v>260</v>
      </c>
      <c r="O106" s="239" t="s">
        <v>423</v>
      </c>
      <c r="P106" s="77">
        <v>0.3</v>
      </c>
      <c r="Q106" s="123" t="s">
        <v>458</v>
      </c>
      <c r="R106" s="160" t="s">
        <v>458</v>
      </c>
      <c r="S106" s="53">
        <v>0</v>
      </c>
      <c r="T106" s="53">
        <v>89.7</v>
      </c>
      <c r="U106" s="121" t="s">
        <v>458</v>
      </c>
      <c r="V106" s="121" t="s">
        <v>458</v>
      </c>
      <c r="W106" s="81" t="s">
        <v>458</v>
      </c>
      <c r="X106" s="81" t="s">
        <v>458</v>
      </c>
      <c r="Y106" s="73" t="s">
        <v>458</v>
      </c>
      <c r="Z106" s="73" t="s">
        <v>458</v>
      </c>
      <c r="AA106" s="81" t="s">
        <v>458</v>
      </c>
      <c r="AB106" s="81" t="s">
        <v>458</v>
      </c>
      <c r="AC106" s="81" t="s">
        <v>458</v>
      </c>
      <c r="AD106" s="81" t="s">
        <v>458</v>
      </c>
      <c r="AE106" s="81" t="s">
        <v>458</v>
      </c>
      <c r="AF106" s="81" t="s">
        <v>458</v>
      </c>
      <c r="AG106" s="291" t="s">
        <v>458</v>
      </c>
      <c r="AH106" s="81" t="s">
        <v>458</v>
      </c>
      <c r="AI106" s="81" t="s">
        <v>458</v>
      </c>
      <c r="AJ106" s="121" t="s">
        <v>257</v>
      </c>
      <c r="AK106" s="197" t="s">
        <v>458</v>
      </c>
      <c r="AL106" s="197" t="s">
        <v>458</v>
      </c>
      <c r="AM106" s="197" t="s">
        <v>458</v>
      </c>
      <c r="AN106" s="197" t="s">
        <v>458</v>
      </c>
      <c r="AO106" s="197" t="s">
        <v>458</v>
      </c>
      <c r="AP106" s="73" t="s">
        <v>458</v>
      </c>
      <c r="AQ106" s="197" t="s">
        <v>458</v>
      </c>
      <c r="AR106" s="197" t="s">
        <v>458</v>
      </c>
      <c r="AS106" s="197" t="s">
        <v>458</v>
      </c>
      <c r="AT106" s="73" t="s">
        <v>458</v>
      </c>
      <c r="AU106" s="197" t="s">
        <v>458</v>
      </c>
    </row>
    <row r="107" spans="1:47" s="18" customFormat="1" ht="32" x14ac:dyDescent="0.2">
      <c r="A107" s="26">
        <v>11</v>
      </c>
      <c r="B107" s="32">
        <v>10</v>
      </c>
      <c r="C107" s="32" t="s">
        <v>256</v>
      </c>
      <c r="D107" s="43" t="s">
        <v>270</v>
      </c>
      <c r="E107" s="46" t="s">
        <v>133</v>
      </c>
      <c r="F107" s="46" t="s">
        <v>134</v>
      </c>
      <c r="G107" s="363" t="s">
        <v>474</v>
      </c>
      <c r="H107" s="363" t="s">
        <v>475</v>
      </c>
      <c r="I107" s="46">
        <f t="shared" si="1"/>
        <v>100</v>
      </c>
      <c r="J107" s="161" t="s">
        <v>111</v>
      </c>
      <c r="K107" s="271" t="s">
        <v>259</v>
      </c>
      <c r="L107" s="231" t="s">
        <v>378</v>
      </c>
      <c r="M107" s="82">
        <v>10</v>
      </c>
      <c r="N107" s="243" t="s">
        <v>260</v>
      </c>
      <c r="O107" s="240" t="s">
        <v>423</v>
      </c>
      <c r="P107" s="82">
        <v>0.5</v>
      </c>
      <c r="Q107" s="127" t="s">
        <v>458</v>
      </c>
      <c r="R107" s="214" t="s">
        <v>458</v>
      </c>
      <c r="S107" s="54">
        <v>0</v>
      </c>
      <c r="T107" s="54">
        <v>89.5</v>
      </c>
      <c r="U107" s="125" t="s">
        <v>458</v>
      </c>
      <c r="V107" s="125" t="s">
        <v>458</v>
      </c>
      <c r="W107" s="89" t="s">
        <v>458</v>
      </c>
      <c r="X107" s="89" t="s">
        <v>458</v>
      </c>
      <c r="Y107" s="74" t="s">
        <v>458</v>
      </c>
      <c r="Z107" s="74" t="s">
        <v>458</v>
      </c>
      <c r="AA107" s="89" t="s">
        <v>458</v>
      </c>
      <c r="AB107" s="89" t="s">
        <v>458</v>
      </c>
      <c r="AC107" s="89" t="s">
        <v>458</v>
      </c>
      <c r="AD107" s="89" t="s">
        <v>458</v>
      </c>
      <c r="AE107" s="89" t="s">
        <v>458</v>
      </c>
      <c r="AF107" s="89" t="s">
        <v>458</v>
      </c>
      <c r="AG107" s="292" t="s">
        <v>458</v>
      </c>
      <c r="AH107" s="89" t="s">
        <v>458</v>
      </c>
      <c r="AI107" s="89" t="s">
        <v>458</v>
      </c>
      <c r="AJ107" s="125" t="s">
        <v>257</v>
      </c>
      <c r="AK107" s="198" t="s">
        <v>458</v>
      </c>
      <c r="AL107" s="198" t="s">
        <v>458</v>
      </c>
      <c r="AM107" s="198" t="s">
        <v>458</v>
      </c>
      <c r="AN107" s="198" t="s">
        <v>458</v>
      </c>
      <c r="AO107" s="198" t="s">
        <v>458</v>
      </c>
      <c r="AP107" s="74" t="s">
        <v>458</v>
      </c>
      <c r="AQ107" s="198" t="s">
        <v>458</v>
      </c>
      <c r="AR107" s="198" t="s">
        <v>458</v>
      </c>
      <c r="AS107" s="198" t="s">
        <v>458</v>
      </c>
      <c r="AT107" s="74" t="s">
        <v>458</v>
      </c>
      <c r="AU107" s="198" t="s">
        <v>458</v>
      </c>
    </row>
    <row r="108" spans="1:47" ht="16" x14ac:dyDescent="0.2">
      <c r="A108" s="25">
        <v>12</v>
      </c>
      <c r="B108" s="31">
        <v>1</v>
      </c>
      <c r="C108" s="31" t="s">
        <v>51</v>
      </c>
      <c r="D108" s="41" t="s">
        <v>33</v>
      </c>
      <c r="E108" s="45" t="s">
        <v>133</v>
      </c>
      <c r="F108" s="45" t="s">
        <v>134</v>
      </c>
      <c r="G108" s="45">
        <v>97</v>
      </c>
      <c r="H108" s="362">
        <v>3</v>
      </c>
      <c r="I108" s="45">
        <f t="shared" si="1"/>
        <v>100</v>
      </c>
      <c r="J108" s="131" t="s">
        <v>285</v>
      </c>
      <c r="K108" s="210" t="s">
        <v>458</v>
      </c>
      <c r="L108" s="236" t="s">
        <v>458</v>
      </c>
      <c r="M108" s="122">
        <v>0</v>
      </c>
      <c r="N108" s="131" t="s">
        <v>458</v>
      </c>
      <c r="O108" s="210" t="s">
        <v>458</v>
      </c>
      <c r="P108" s="53">
        <v>0</v>
      </c>
      <c r="Q108" s="123" t="s">
        <v>458</v>
      </c>
      <c r="R108" s="121" t="s">
        <v>458</v>
      </c>
      <c r="S108" s="53">
        <v>0</v>
      </c>
      <c r="T108" s="122">
        <v>100</v>
      </c>
      <c r="U108" s="121" t="s">
        <v>458</v>
      </c>
      <c r="V108" s="121" t="s">
        <v>458</v>
      </c>
      <c r="W108" s="123" t="s">
        <v>458</v>
      </c>
      <c r="X108" s="81" t="s">
        <v>458</v>
      </c>
      <c r="Y108" s="73" t="s">
        <v>458</v>
      </c>
      <c r="Z108" s="73" t="s">
        <v>458</v>
      </c>
      <c r="AA108" s="81" t="s">
        <v>458</v>
      </c>
      <c r="AB108" s="81" t="s">
        <v>458</v>
      </c>
      <c r="AC108" s="81" t="s">
        <v>458</v>
      </c>
      <c r="AD108" s="81" t="s">
        <v>458</v>
      </c>
      <c r="AE108" s="81" t="s">
        <v>458</v>
      </c>
      <c r="AF108" s="81" t="s">
        <v>458</v>
      </c>
      <c r="AG108" s="298">
        <v>1.25</v>
      </c>
      <c r="AH108" s="78" t="s">
        <v>109</v>
      </c>
      <c r="AI108" s="78">
        <v>0.8</v>
      </c>
      <c r="AJ108" s="121" t="s">
        <v>112</v>
      </c>
      <c r="AK108" s="197" t="s">
        <v>458</v>
      </c>
      <c r="AL108" s="53">
        <v>20</v>
      </c>
      <c r="AM108" s="53">
        <v>20</v>
      </c>
      <c r="AN108" s="53">
        <v>0.3</v>
      </c>
      <c r="AO108" s="121" t="s">
        <v>167</v>
      </c>
      <c r="AP108" s="59">
        <v>1.8</v>
      </c>
      <c r="AQ108" s="53">
        <v>1</v>
      </c>
      <c r="AR108" s="41">
        <v>0.96923000000000004</v>
      </c>
      <c r="AS108" s="53">
        <v>1</v>
      </c>
      <c r="AT108" s="73" t="s">
        <v>458</v>
      </c>
      <c r="AU108" s="41">
        <v>67.84</v>
      </c>
    </row>
    <row r="109" spans="1:47" ht="16" x14ac:dyDescent="0.2">
      <c r="A109" s="25">
        <v>12</v>
      </c>
      <c r="B109" s="31">
        <v>1</v>
      </c>
      <c r="C109" s="31" t="s">
        <v>51</v>
      </c>
      <c r="D109" s="41" t="s">
        <v>33</v>
      </c>
      <c r="E109" s="45" t="s">
        <v>133</v>
      </c>
      <c r="F109" s="45" t="s">
        <v>134</v>
      </c>
      <c r="G109" s="45">
        <v>97</v>
      </c>
      <c r="H109" s="362">
        <v>3</v>
      </c>
      <c r="I109" s="45">
        <f t="shared" si="1"/>
        <v>100</v>
      </c>
      <c r="J109" s="131" t="s">
        <v>285</v>
      </c>
      <c r="K109" s="210" t="s">
        <v>458</v>
      </c>
      <c r="L109" s="236" t="s">
        <v>458</v>
      </c>
      <c r="M109" s="122">
        <v>0</v>
      </c>
      <c r="N109" s="131" t="s">
        <v>458</v>
      </c>
      <c r="O109" s="210" t="s">
        <v>458</v>
      </c>
      <c r="P109" s="53">
        <v>0</v>
      </c>
      <c r="Q109" s="123" t="s">
        <v>458</v>
      </c>
      <c r="R109" s="121" t="s">
        <v>458</v>
      </c>
      <c r="S109" s="53">
        <v>0</v>
      </c>
      <c r="T109" s="122">
        <v>100</v>
      </c>
      <c r="U109" s="121" t="s">
        <v>458</v>
      </c>
      <c r="V109" s="121" t="s">
        <v>458</v>
      </c>
      <c r="W109" s="123" t="s">
        <v>458</v>
      </c>
      <c r="X109" s="81" t="s">
        <v>458</v>
      </c>
      <c r="Y109" s="73" t="s">
        <v>458</v>
      </c>
      <c r="Z109" s="73" t="s">
        <v>458</v>
      </c>
      <c r="AA109" s="81" t="s">
        <v>458</v>
      </c>
      <c r="AB109" s="81" t="s">
        <v>458</v>
      </c>
      <c r="AC109" s="81" t="s">
        <v>458</v>
      </c>
      <c r="AD109" s="81" t="s">
        <v>458</v>
      </c>
      <c r="AE109" s="81" t="s">
        <v>458</v>
      </c>
      <c r="AF109" s="81" t="s">
        <v>458</v>
      </c>
      <c r="AG109" s="298">
        <v>1.25</v>
      </c>
      <c r="AH109" s="78" t="s">
        <v>109</v>
      </c>
      <c r="AI109" s="78">
        <v>0.8</v>
      </c>
      <c r="AJ109" s="121" t="s">
        <v>112</v>
      </c>
      <c r="AK109" s="197" t="s">
        <v>458</v>
      </c>
      <c r="AL109" s="53">
        <v>20</v>
      </c>
      <c r="AM109" s="53">
        <v>20</v>
      </c>
      <c r="AN109" s="53">
        <v>0.3</v>
      </c>
      <c r="AO109" s="121" t="s">
        <v>167</v>
      </c>
      <c r="AP109" s="59">
        <v>2.6785700000000001</v>
      </c>
      <c r="AQ109" s="53">
        <v>3</v>
      </c>
      <c r="AR109" s="41">
        <v>1.34615</v>
      </c>
      <c r="AS109" s="53">
        <v>3</v>
      </c>
      <c r="AT109" s="73" t="s">
        <v>458</v>
      </c>
      <c r="AU109" s="41">
        <v>67.84</v>
      </c>
    </row>
    <row r="110" spans="1:47" ht="16" x14ac:dyDescent="0.2">
      <c r="A110" s="25">
        <v>12</v>
      </c>
      <c r="B110" s="31">
        <v>1</v>
      </c>
      <c r="C110" s="31" t="s">
        <v>51</v>
      </c>
      <c r="D110" s="41" t="s">
        <v>33</v>
      </c>
      <c r="E110" s="45" t="s">
        <v>133</v>
      </c>
      <c r="F110" s="45" t="s">
        <v>134</v>
      </c>
      <c r="G110" s="45">
        <v>97</v>
      </c>
      <c r="H110" s="362">
        <v>3</v>
      </c>
      <c r="I110" s="45">
        <f t="shared" si="1"/>
        <v>100</v>
      </c>
      <c r="J110" s="131" t="s">
        <v>285</v>
      </c>
      <c r="K110" s="210" t="s">
        <v>458</v>
      </c>
      <c r="L110" s="236" t="s">
        <v>458</v>
      </c>
      <c r="M110" s="122">
        <v>0</v>
      </c>
      <c r="N110" s="131" t="s">
        <v>458</v>
      </c>
      <c r="O110" s="210" t="s">
        <v>458</v>
      </c>
      <c r="P110" s="53">
        <v>0</v>
      </c>
      <c r="Q110" s="123" t="s">
        <v>458</v>
      </c>
      <c r="R110" s="121" t="s">
        <v>458</v>
      </c>
      <c r="S110" s="53">
        <v>0</v>
      </c>
      <c r="T110" s="122">
        <v>100</v>
      </c>
      <c r="U110" s="121" t="s">
        <v>458</v>
      </c>
      <c r="V110" s="121" t="s">
        <v>458</v>
      </c>
      <c r="W110" s="123" t="s">
        <v>458</v>
      </c>
      <c r="X110" s="81" t="s">
        <v>458</v>
      </c>
      <c r="Y110" s="73" t="s">
        <v>458</v>
      </c>
      <c r="Z110" s="73" t="s">
        <v>458</v>
      </c>
      <c r="AA110" s="81" t="s">
        <v>458</v>
      </c>
      <c r="AB110" s="81" t="s">
        <v>458</v>
      </c>
      <c r="AC110" s="81" t="s">
        <v>458</v>
      </c>
      <c r="AD110" s="81" t="s">
        <v>458</v>
      </c>
      <c r="AE110" s="81" t="s">
        <v>458</v>
      </c>
      <c r="AF110" s="81" t="s">
        <v>458</v>
      </c>
      <c r="AG110" s="298">
        <v>1.25</v>
      </c>
      <c r="AH110" s="78" t="s">
        <v>109</v>
      </c>
      <c r="AI110" s="78">
        <v>0.8</v>
      </c>
      <c r="AJ110" s="121" t="s">
        <v>112</v>
      </c>
      <c r="AK110" s="197" t="s">
        <v>458</v>
      </c>
      <c r="AL110" s="53">
        <v>20</v>
      </c>
      <c r="AM110" s="53">
        <v>20</v>
      </c>
      <c r="AN110" s="53">
        <v>0.3</v>
      </c>
      <c r="AO110" s="121" t="s">
        <v>167</v>
      </c>
      <c r="AP110" s="59">
        <v>2.8571399999999998</v>
      </c>
      <c r="AQ110" s="53">
        <v>5</v>
      </c>
      <c r="AR110" s="41">
        <v>1.61538</v>
      </c>
      <c r="AS110" s="53">
        <v>5</v>
      </c>
      <c r="AT110" s="73" t="s">
        <v>458</v>
      </c>
      <c r="AU110" s="41">
        <v>67.84</v>
      </c>
    </row>
    <row r="111" spans="1:47" ht="16" x14ac:dyDescent="0.2">
      <c r="A111" s="25">
        <v>12</v>
      </c>
      <c r="B111" s="31">
        <v>1</v>
      </c>
      <c r="C111" s="31" t="s">
        <v>51</v>
      </c>
      <c r="D111" s="41" t="s">
        <v>33</v>
      </c>
      <c r="E111" s="45" t="s">
        <v>133</v>
      </c>
      <c r="F111" s="45" t="s">
        <v>134</v>
      </c>
      <c r="G111" s="45">
        <v>97</v>
      </c>
      <c r="H111" s="362">
        <v>3</v>
      </c>
      <c r="I111" s="45">
        <f t="shared" si="1"/>
        <v>100</v>
      </c>
      <c r="J111" s="131" t="s">
        <v>285</v>
      </c>
      <c r="K111" s="210" t="s">
        <v>458</v>
      </c>
      <c r="L111" s="236" t="s">
        <v>458</v>
      </c>
      <c r="M111" s="122">
        <v>0</v>
      </c>
      <c r="N111" s="131" t="s">
        <v>458</v>
      </c>
      <c r="O111" s="210" t="s">
        <v>458</v>
      </c>
      <c r="P111" s="53">
        <v>0</v>
      </c>
      <c r="Q111" s="123" t="s">
        <v>458</v>
      </c>
      <c r="R111" s="121" t="s">
        <v>458</v>
      </c>
      <c r="S111" s="53">
        <v>0</v>
      </c>
      <c r="T111" s="122">
        <v>100</v>
      </c>
      <c r="U111" s="121" t="s">
        <v>458</v>
      </c>
      <c r="V111" s="121" t="s">
        <v>458</v>
      </c>
      <c r="W111" s="123" t="s">
        <v>458</v>
      </c>
      <c r="X111" s="81" t="s">
        <v>458</v>
      </c>
      <c r="Y111" s="73" t="s">
        <v>458</v>
      </c>
      <c r="Z111" s="73" t="s">
        <v>458</v>
      </c>
      <c r="AA111" s="81" t="s">
        <v>458</v>
      </c>
      <c r="AB111" s="81" t="s">
        <v>458</v>
      </c>
      <c r="AC111" s="81" t="s">
        <v>458</v>
      </c>
      <c r="AD111" s="81" t="s">
        <v>458</v>
      </c>
      <c r="AE111" s="81" t="s">
        <v>458</v>
      </c>
      <c r="AF111" s="81" t="s">
        <v>458</v>
      </c>
      <c r="AG111" s="298">
        <v>1.25</v>
      </c>
      <c r="AH111" s="78" t="s">
        <v>109</v>
      </c>
      <c r="AI111" s="78">
        <v>0.8</v>
      </c>
      <c r="AJ111" s="121" t="s">
        <v>112</v>
      </c>
      <c r="AK111" s="197" t="s">
        <v>458</v>
      </c>
      <c r="AL111" s="53">
        <v>20</v>
      </c>
      <c r="AM111" s="53">
        <v>20</v>
      </c>
      <c r="AN111" s="53">
        <v>0.3</v>
      </c>
      <c r="AO111" s="121" t="s">
        <v>167</v>
      </c>
      <c r="AP111" s="59">
        <v>3.2142900000000001</v>
      </c>
      <c r="AQ111" s="53">
        <v>7</v>
      </c>
      <c r="AR111" s="41">
        <v>1.70513</v>
      </c>
      <c r="AS111" s="53">
        <v>7</v>
      </c>
      <c r="AT111" s="73" t="s">
        <v>458</v>
      </c>
      <c r="AU111" s="41">
        <v>67.84</v>
      </c>
    </row>
    <row r="112" spans="1:47" ht="16" x14ac:dyDescent="0.2">
      <c r="A112" s="25">
        <v>12</v>
      </c>
      <c r="B112" s="31">
        <v>1</v>
      </c>
      <c r="C112" s="31" t="s">
        <v>51</v>
      </c>
      <c r="D112" s="41" t="s">
        <v>33</v>
      </c>
      <c r="E112" s="45" t="s">
        <v>133</v>
      </c>
      <c r="F112" s="45" t="s">
        <v>134</v>
      </c>
      <c r="G112" s="45">
        <v>97</v>
      </c>
      <c r="H112" s="362">
        <v>3</v>
      </c>
      <c r="I112" s="45">
        <f t="shared" si="1"/>
        <v>100</v>
      </c>
      <c r="J112" s="131" t="s">
        <v>285</v>
      </c>
      <c r="K112" s="210" t="s">
        <v>458</v>
      </c>
      <c r="L112" s="236" t="s">
        <v>458</v>
      </c>
      <c r="M112" s="122">
        <v>0</v>
      </c>
      <c r="N112" s="131" t="s">
        <v>458</v>
      </c>
      <c r="O112" s="210" t="s">
        <v>458</v>
      </c>
      <c r="P112" s="53">
        <v>0</v>
      </c>
      <c r="Q112" s="123" t="s">
        <v>458</v>
      </c>
      <c r="R112" s="121" t="s">
        <v>458</v>
      </c>
      <c r="S112" s="53">
        <v>0</v>
      </c>
      <c r="T112" s="122">
        <v>100</v>
      </c>
      <c r="U112" s="121" t="s">
        <v>458</v>
      </c>
      <c r="V112" s="121" t="s">
        <v>458</v>
      </c>
      <c r="W112" s="123" t="s">
        <v>458</v>
      </c>
      <c r="X112" s="81" t="s">
        <v>458</v>
      </c>
      <c r="Y112" s="73" t="s">
        <v>458</v>
      </c>
      <c r="Z112" s="73" t="s">
        <v>458</v>
      </c>
      <c r="AA112" s="81" t="s">
        <v>458</v>
      </c>
      <c r="AB112" s="81" t="s">
        <v>458</v>
      </c>
      <c r="AC112" s="81" t="s">
        <v>458</v>
      </c>
      <c r="AD112" s="81" t="s">
        <v>458</v>
      </c>
      <c r="AE112" s="81" t="s">
        <v>458</v>
      </c>
      <c r="AF112" s="81" t="s">
        <v>458</v>
      </c>
      <c r="AG112" s="298">
        <v>1.25</v>
      </c>
      <c r="AH112" s="78" t="s">
        <v>109</v>
      </c>
      <c r="AI112" s="78">
        <v>0.8</v>
      </c>
      <c r="AJ112" s="121" t="s">
        <v>112</v>
      </c>
      <c r="AK112" s="197" t="s">
        <v>458</v>
      </c>
      <c r="AL112" s="53">
        <v>20</v>
      </c>
      <c r="AM112" s="53">
        <v>20</v>
      </c>
      <c r="AN112" s="53">
        <v>0.3</v>
      </c>
      <c r="AO112" s="121" t="s">
        <v>167</v>
      </c>
      <c r="AP112" s="59">
        <v>3.75</v>
      </c>
      <c r="AQ112" s="53">
        <v>9</v>
      </c>
      <c r="AR112" s="41">
        <v>1.8128200000000001</v>
      </c>
      <c r="AS112" s="53">
        <v>9</v>
      </c>
      <c r="AT112" s="73" t="s">
        <v>458</v>
      </c>
      <c r="AU112" s="41">
        <v>67.84</v>
      </c>
    </row>
    <row r="113" spans="1:47" ht="16" x14ac:dyDescent="0.2">
      <c r="A113" s="25">
        <v>12</v>
      </c>
      <c r="B113" s="31">
        <v>2</v>
      </c>
      <c r="C113" s="31" t="s">
        <v>52</v>
      </c>
      <c r="D113" s="41" t="s">
        <v>34</v>
      </c>
      <c r="E113" s="45" t="s">
        <v>133</v>
      </c>
      <c r="F113" s="45" t="s">
        <v>134</v>
      </c>
      <c r="G113" s="45">
        <v>97</v>
      </c>
      <c r="H113" s="362">
        <v>3</v>
      </c>
      <c r="I113" s="45">
        <f t="shared" si="1"/>
        <v>100</v>
      </c>
      <c r="J113" s="131" t="s">
        <v>111</v>
      </c>
      <c r="K113" s="91" t="s">
        <v>385</v>
      </c>
      <c r="L113" s="364" t="s">
        <v>379</v>
      </c>
      <c r="M113" s="122">
        <v>10</v>
      </c>
      <c r="N113" s="131" t="s">
        <v>458</v>
      </c>
      <c r="O113" s="210" t="s">
        <v>458</v>
      </c>
      <c r="P113" s="53">
        <v>0</v>
      </c>
      <c r="Q113" s="123" t="s">
        <v>458</v>
      </c>
      <c r="R113" s="121" t="s">
        <v>458</v>
      </c>
      <c r="S113" s="53">
        <v>0</v>
      </c>
      <c r="T113" s="122">
        <v>90</v>
      </c>
      <c r="U113" s="121" t="s">
        <v>458</v>
      </c>
      <c r="V113" s="121" t="s">
        <v>458</v>
      </c>
      <c r="W113" s="123" t="s">
        <v>458</v>
      </c>
      <c r="X113" s="81" t="s">
        <v>458</v>
      </c>
      <c r="Y113" s="73" t="s">
        <v>458</v>
      </c>
      <c r="Z113" s="73" t="s">
        <v>458</v>
      </c>
      <c r="AA113" s="81" t="s">
        <v>458</v>
      </c>
      <c r="AB113" s="81" t="s">
        <v>458</v>
      </c>
      <c r="AC113" s="81" t="s">
        <v>458</v>
      </c>
      <c r="AD113" s="81" t="s">
        <v>458</v>
      </c>
      <c r="AE113" s="81" t="s">
        <v>458</v>
      </c>
      <c r="AF113" s="81" t="s">
        <v>458</v>
      </c>
      <c r="AG113" s="298">
        <v>1.1299999999999999</v>
      </c>
      <c r="AH113" s="78" t="s">
        <v>109</v>
      </c>
      <c r="AI113" s="59">
        <v>1.74</v>
      </c>
      <c r="AJ113" s="121" t="s">
        <v>271</v>
      </c>
      <c r="AK113" s="197" t="s">
        <v>458</v>
      </c>
      <c r="AL113" s="53">
        <v>20</v>
      </c>
      <c r="AM113" s="53">
        <v>20</v>
      </c>
      <c r="AN113" s="53">
        <v>0.3</v>
      </c>
      <c r="AO113" s="121" t="s">
        <v>167</v>
      </c>
      <c r="AP113" s="59">
        <v>3.2738100000000001</v>
      </c>
      <c r="AQ113" s="53">
        <v>1</v>
      </c>
      <c r="AR113" s="41">
        <v>2.0282</v>
      </c>
      <c r="AS113" s="53">
        <v>1</v>
      </c>
      <c r="AT113" s="73" t="s">
        <v>458</v>
      </c>
      <c r="AU113" s="41">
        <v>82.42</v>
      </c>
    </row>
    <row r="114" spans="1:47" ht="16" x14ac:dyDescent="0.2">
      <c r="A114" s="25">
        <v>12</v>
      </c>
      <c r="B114" s="31">
        <v>2</v>
      </c>
      <c r="C114" s="31" t="s">
        <v>52</v>
      </c>
      <c r="D114" s="41" t="s">
        <v>34</v>
      </c>
      <c r="E114" s="45" t="s">
        <v>133</v>
      </c>
      <c r="F114" s="45" t="s">
        <v>134</v>
      </c>
      <c r="G114" s="45">
        <v>97</v>
      </c>
      <c r="H114" s="362">
        <v>3</v>
      </c>
      <c r="I114" s="45">
        <f t="shared" si="1"/>
        <v>100</v>
      </c>
      <c r="J114" s="131" t="s">
        <v>111</v>
      </c>
      <c r="K114" s="91" t="s">
        <v>385</v>
      </c>
      <c r="L114" s="364" t="s">
        <v>379</v>
      </c>
      <c r="M114" s="122">
        <v>10</v>
      </c>
      <c r="N114" s="131" t="s">
        <v>458</v>
      </c>
      <c r="O114" s="210" t="s">
        <v>458</v>
      </c>
      <c r="P114" s="53">
        <v>0</v>
      </c>
      <c r="Q114" s="123" t="s">
        <v>458</v>
      </c>
      <c r="R114" s="121" t="s">
        <v>458</v>
      </c>
      <c r="S114" s="53">
        <v>0</v>
      </c>
      <c r="T114" s="122">
        <v>90</v>
      </c>
      <c r="U114" s="121" t="s">
        <v>458</v>
      </c>
      <c r="V114" s="121" t="s">
        <v>458</v>
      </c>
      <c r="W114" s="123" t="s">
        <v>458</v>
      </c>
      <c r="X114" s="81" t="s">
        <v>458</v>
      </c>
      <c r="Y114" s="73" t="s">
        <v>458</v>
      </c>
      <c r="Z114" s="73" t="s">
        <v>458</v>
      </c>
      <c r="AA114" s="81" t="s">
        <v>458</v>
      </c>
      <c r="AB114" s="81" t="s">
        <v>458</v>
      </c>
      <c r="AC114" s="81" t="s">
        <v>458</v>
      </c>
      <c r="AD114" s="81" t="s">
        <v>458</v>
      </c>
      <c r="AE114" s="81" t="s">
        <v>458</v>
      </c>
      <c r="AF114" s="81" t="s">
        <v>458</v>
      </c>
      <c r="AG114" s="298">
        <v>1.1299999999999999</v>
      </c>
      <c r="AH114" s="78" t="s">
        <v>109</v>
      </c>
      <c r="AI114" s="59">
        <v>1.74</v>
      </c>
      <c r="AJ114" s="121" t="s">
        <v>271</v>
      </c>
      <c r="AK114" s="197" t="s">
        <v>458</v>
      </c>
      <c r="AL114" s="53">
        <v>20</v>
      </c>
      <c r="AM114" s="53">
        <v>20</v>
      </c>
      <c r="AN114" s="53">
        <v>0.3</v>
      </c>
      <c r="AO114" s="121" t="s">
        <v>167</v>
      </c>
      <c r="AP114" s="59">
        <v>5.4761899999999999</v>
      </c>
      <c r="AQ114" s="53">
        <v>3</v>
      </c>
      <c r="AR114" s="41">
        <v>2.9974400000000001</v>
      </c>
      <c r="AS114" s="53">
        <v>3</v>
      </c>
      <c r="AT114" s="73" t="s">
        <v>458</v>
      </c>
      <c r="AU114" s="41">
        <v>82.42</v>
      </c>
    </row>
    <row r="115" spans="1:47" ht="16" x14ac:dyDescent="0.2">
      <c r="A115" s="25">
        <v>12</v>
      </c>
      <c r="B115" s="31">
        <v>2</v>
      </c>
      <c r="C115" s="31" t="s">
        <v>52</v>
      </c>
      <c r="D115" s="41" t="s">
        <v>34</v>
      </c>
      <c r="E115" s="45" t="s">
        <v>133</v>
      </c>
      <c r="F115" s="45" t="s">
        <v>134</v>
      </c>
      <c r="G115" s="45">
        <v>97</v>
      </c>
      <c r="H115" s="362">
        <v>3</v>
      </c>
      <c r="I115" s="45">
        <f t="shared" si="1"/>
        <v>100</v>
      </c>
      <c r="J115" s="131" t="s">
        <v>111</v>
      </c>
      <c r="K115" s="91" t="s">
        <v>385</v>
      </c>
      <c r="L115" s="364" t="s">
        <v>379</v>
      </c>
      <c r="M115" s="122">
        <v>10</v>
      </c>
      <c r="N115" s="131" t="s">
        <v>458</v>
      </c>
      <c r="O115" s="210" t="s">
        <v>458</v>
      </c>
      <c r="P115" s="53">
        <v>0</v>
      </c>
      <c r="Q115" s="123" t="s">
        <v>458</v>
      </c>
      <c r="R115" s="121" t="s">
        <v>458</v>
      </c>
      <c r="S115" s="53">
        <v>0</v>
      </c>
      <c r="T115" s="122">
        <v>90</v>
      </c>
      <c r="U115" s="121" t="s">
        <v>458</v>
      </c>
      <c r="V115" s="121" t="s">
        <v>458</v>
      </c>
      <c r="W115" s="123" t="s">
        <v>458</v>
      </c>
      <c r="X115" s="81" t="s">
        <v>458</v>
      </c>
      <c r="Y115" s="73" t="s">
        <v>458</v>
      </c>
      <c r="Z115" s="73" t="s">
        <v>458</v>
      </c>
      <c r="AA115" s="81" t="s">
        <v>458</v>
      </c>
      <c r="AB115" s="81" t="s">
        <v>458</v>
      </c>
      <c r="AC115" s="81" t="s">
        <v>458</v>
      </c>
      <c r="AD115" s="81" t="s">
        <v>458</v>
      </c>
      <c r="AE115" s="81" t="s">
        <v>458</v>
      </c>
      <c r="AF115" s="81" t="s">
        <v>458</v>
      </c>
      <c r="AG115" s="298">
        <v>1.1299999999999999</v>
      </c>
      <c r="AH115" s="78" t="s">
        <v>109</v>
      </c>
      <c r="AI115" s="59">
        <v>1.74</v>
      </c>
      <c r="AJ115" s="121" t="s">
        <v>271</v>
      </c>
      <c r="AK115" s="197" t="s">
        <v>458</v>
      </c>
      <c r="AL115" s="53">
        <v>20</v>
      </c>
      <c r="AM115" s="53">
        <v>20</v>
      </c>
      <c r="AN115" s="53">
        <v>0.3</v>
      </c>
      <c r="AO115" s="121" t="s">
        <v>167</v>
      </c>
      <c r="AP115" s="59">
        <v>7.5595299999999996</v>
      </c>
      <c r="AQ115" s="53">
        <v>5</v>
      </c>
      <c r="AR115" s="41">
        <v>3.8948700000000001</v>
      </c>
      <c r="AS115" s="53">
        <v>5</v>
      </c>
      <c r="AT115" s="73" t="s">
        <v>458</v>
      </c>
      <c r="AU115" s="41">
        <v>82.42</v>
      </c>
    </row>
    <row r="116" spans="1:47" ht="16" x14ac:dyDescent="0.2">
      <c r="A116" s="25">
        <v>12</v>
      </c>
      <c r="B116" s="31">
        <v>2</v>
      </c>
      <c r="C116" s="31" t="s">
        <v>52</v>
      </c>
      <c r="D116" s="41" t="s">
        <v>34</v>
      </c>
      <c r="E116" s="45" t="s">
        <v>133</v>
      </c>
      <c r="F116" s="45" t="s">
        <v>134</v>
      </c>
      <c r="G116" s="45">
        <v>97</v>
      </c>
      <c r="H116" s="362">
        <v>3</v>
      </c>
      <c r="I116" s="45">
        <f t="shared" si="1"/>
        <v>100</v>
      </c>
      <c r="J116" s="131" t="s">
        <v>111</v>
      </c>
      <c r="K116" s="91" t="s">
        <v>385</v>
      </c>
      <c r="L116" s="364" t="s">
        <v>379</v>
      </c>
      <c r="M116" s="122">
        <v>10</v>
      </c>
      <c r="N116" s="131" t="s">
        <v>458</v>
      </c>
      <c r="O116" s="210" t="s">
        <v>458</v>
      </c>
      <c r="P116" s="53">
        <v>0</v>
      </c>
      <c r="Q116" s="123" t="s">
        <v>458</v>
      </c>
      <c r="R116" s="121" t="s">
        <v>458</v>
      </c>
      <c r="S116" s="53">
        <v>0</v>
      </c>
      <c r="T116" s="122">
        <v>90</v>
      </c>
      <c r="U116" s="121" t="s">
        <v>458</v>
      </c>
      <c r="V116" s="121" t="s">
        <v>458</v>
      </c>
      <c r="W116" s="123" t="s">
        <v>458</v>
      </c>
      <c r="X116" s="81" t="s">
        <v>458</v>
      </c>
      <c r="Y116" s="73" t="s">
        <v>458</v>
      </c>
      <c r="Z116" s="73" t="s">
        <v>458</v>
      </c>
      <c r="AA116" s="81" t="s">
        <v>458</v>
      </c>
      <c r="AB116" s="81" t="s">
        <v>458</v>
      </c>
      <c r="AC116" s="81" t="s">
        <v>458</v>
      </c>
      <c r="AD116" s="81" t="s">
        <v>458</v>
      </c>
      <c r="AE116" s="81" t="s">
        <v>458</v>
      </c>
      <c r="AF116" s="81" t="s">
        <v>458</v>
      </c>
      <c r="AG116" s="298">
        <v>1.1299999999999999</v>
      </c>
      <c r="AH116" s="78" t="s">
        <v>109</v>
      </c>
      <c r="AI116" s="59">
        <v>1.74</v>
      </c>
      <c r="AJ116" s="121" t="s">
        <v>271</v>
      </c>
      <c r="AK116" s="197" t="s">
        <v>458</v>
      </c>
      <c r="AL116" s="53">
        <v>20</v>
      </c>
      <c r="AM116" s="53">
        <v>20</v>
      </c>
      <c r="AN116" s="53">
        <v>0.3</v>
      </c>
      <c r="AO116" s="121" t="s">
        <v>167</v>
      </c>
      <c r="AP116" s="59">
        <v>9.2261900000000008</v>
      </c>
      <c r="AQ116" s="53">
        <v>7</v>
      </c>
      <c r="AR116" s="41">
        <v>4.4692299999999996</v>
      </c>
      <c r="AS116" s="53">
        <v>7</v>
      </c>
      <c r="AT116" s="73" t="s">
        <v>458</v>
      </c>
      <c r="AU116" s="41">
        <v>82.42</v>
      </c>
    </row>
    <row r="117" spans="1:47" ht="16" x14ac:dyDescent="0.2">
      <c r="A117" s="25">
        <v>12</v>
      </c>
      <c r="B117" s="31">
        <v>2</v>
      </c>
      <c r="C117" s="31" t="s">
        <v>52</v>
      </c>
      <c r="D117" s="41" t="s">
        <v>34</v>
      </c>
      <c r="E117" s="45" t="s">
        <v>133</v>
      </c>
      <c r="F117" s="45" t="s">
        <v>134</v>
      </c>
      <c r="G117" s="45">
        <v>97</v>
      </c>
      <c r="H117" s="362">
        <v>3</v>
      </c>
      <c r="I117" s="45">
        <f t="shared" si="1"/>
        <v>100</v>
      </c>
      <c r="J117" s="131" t="s">
        <v>111</v>
      </c>
      <c r="K117" s="91" t="s">
        <v>385</v>
      </c>
      <c r="L117" s="364" t="s">
        <v>379</v>
      </c>
      <c r="M117" s="122">
        <v>10</v>
      </c>
      <c r="N117" s="131" t="s">
        <v>458</v>
      </c>
      <c r="O117" s="210" t="s">
        <v>458</v>
      </c>
      <c r="P117" s="53">
        <v>0</v>
      </c>
      <c r="Q117" s="123" t="s">
        <v>458</v>
      </c>
      <c r="R117" s="121" t="s">
        <v>458</v>
      </c>
      <c r="S117" s="53">
        <v>0</v>
      </c>
      <c r="T117" s="122">
        <v>90</v>
      </c>
      <c r="U117" s="121" t="s">
        <v>458</v>
      </c>
      <c r="V117" s="121" t="s">
        <v>458</v>
      </c>
      <c r="W117" s="123" t="s">
        <v>458</v>
      </c>
      <c r="X117" s="81" t="s">
        <v>458</v>
      </c>
      <c r="Y117" s="73" t="s">
        <v>458</v>
      </c>
      <c r="Z117" s="73" t="s">
        <v>458</v>
      </c>
      <c r="AA117" s="81" t="s">
        <v>458</v>
      </c>
      <c r="AB117" s="81" t="s">
        <v>458</v>
      </c>
      <c r="AC117" s="81" t="s">
        <v>458</v>
      </c>
      <c r="AD117" s="81" t="s">
        <v>458</v>
      </c>
      <c r="AE117" s="81" t="s">
        <v>458</v>
      </c>
      <c r="AF117" s="81" t="s">
        <v>458</v>
      </c>
      <c r="AG117" s="298">
        <v>1.1299999999999999</v>
      </c>
      <c r="AH117" s="78" t="s">
        <v>109</v>
      </c>
      <c r="AI117" s="59">
        <v>1.74</v>
      </c>
      <c r="AJ117" s="121" t="s">
        <v>271</v>
      </c>
      <c r="AK117" s="197" t="s">
        <v>458</v>
      </c>
      <c r="AL117" s="53">
        <v>20</v>
      </c>
      <c r="AM117" s="53">
        <v>20</v>
      </c>
      <c r="AN117" s="53">
        <v>0.3</v>
      </c>
      <c r="AO117" s="121" t="s">
        <v>167</v>
      </c>
      <c r="AP117" s="59">
        <v>10.178570000000001</v>
      </c>
      <c r="AQ117" s="53">
        <v>9</v>
      </c>
      <c r="AR117" s="41">
        <v>4.7384599999999999</v>
      </c>
      <c r="AS117" s="53">
        <v>9</v>
      </c>
      <c r="AT117" s="73" t="s">
        <v>458</v>
      </c>
      <c r="AU117" s="41">
        <v>82.42</v>
      </c>
    </row>
    <row r="118" spans="1:47" ht="16" x14ac:dyDescent="0.2">
      <c r="A118" s="25">
        <v>12</v>
      </c>
      <c r="B118" s="31">
        <v>3</v>
      </c>
      <c r="C118" s="31" t="s">
        <v>53</v>
      </c>
      <c r="D118" s="41" t="s">
        <v>35</v>
      </c>
      <c r="E118" s="45" t="s">
        <v>133</v>
      </c>
      <c r="F118" s="45" t="s">
        <v>134</v>
      </c>
      <c r="G118" s="45">
        <v>97</v>
      </c>
      <c r="H118" s="362">
        <v>3</v>
      </c>
      <c r="I118" s="45">
        <f t="shared" si="1"/>
        <v>100</v>
      </c>
      <c r="J118" s="131" t="s">
        <v>111</v>
      </c>
      <c r="K118" s="91" t="s">
        <v>385</v>
      </c>
      <c r="L118" s="364" t="s">
        <v>379</v>
      </c>
      <c r="M118" s="122">
        <v>20</v>
      </c>
      <c r="N118" s="131" t="s">
        <v>458</v>
      </c>
      <c r="O118" s="210" t="s">
        <v>458</v>
      </c>
      <c r="P118" s="53">
        <v>0</v>
      </c>
      <c r="Q118" s="123" t="s">
        <v>458</v>
      </c>
      <c r="R118" s="121" t="s">
        <v>458</v>
      </c>
      <c r="S118" s="53">
        <v>0</v>
      </c>
      <c r="T118" s="122">
        <v>80</v>
      </c>
      <c r="U118" s="121" t="s">
        <v>458</v>
      </c>
      <c r="V118" s="121" t="s">
        <v>458</v>
      </c>
      <c r="W118" s="123" t="s">
        <v>458</v>
      </c>
      <c r="X118" s="81" t="s">
        <v>458</v>
      </c>
      <c r="Y118" s="73" t="s">
        <v>458</v>
      </c>
      <c r="Z118" s="73" t="s">
        <v>458</v>
      </c>
      <c r="AA118" s="81" t="s">
        <v>458</v>
      </c>
      <c r="AB118" s="81" t="s">
        <v>458</v>
      </c>
      <c r="AC118" s="81" t="s">
        <v>458</v>
      </c>
      <c r="AD118" s="81" t="s">
        <v>458</v>
      </c>
      <c r="AE118" s="81" t="s">
        <v>458</v>
      </c>
      <c r="AF118" s="81" t="s">
        <v>458</v>
      </c>
      <c r="AG118" s="298">
        <v>1.02</v>
      </c>
      <c r="AH118" s="78" t="s">
        <v>109</v>
      </c>
      <c r="AI118" s="59">
        <v>3.17</v>
      </c>
      <c r="AJ118" s="121" t="s">
        <v>271</v>
      </c>
      <c r="AK118" s="197" t="s">
        <v>458</v>
      </c>
      <c r="AL118" s="53">
        <v>20</v>
      </c>
      <c r="AM118" s="53">
        <v>20</v>
      </c>
      <c r="AN118" s="53">
        <v>0.3</v>
      </c>
      <c r="AO118" s="121" t="s">
        <v>167</v>
      </c>
      <c r="AP118" s="52">
        <v>3.75</v>
      </c>
      <c r="AQ118" s="53">
        <v>1</v>
      </c>
      <c r="AR118" s="41">
        <v>2.4769199999999998</v>
      </c>
      <c r="AS118" s="53">
        <v>1</v>
      </c>
      <c r="AT118" s="73" t="s">
        <v>458</v>
      </c>
      <c r="AU118" s="41">
        <v>74.08</v>
      </c>
    </row>
    <row r="119" spans="1:47" ht="16" x14ac:dyDescent="0.2">
      <c r="A119" s="25">
        <v>12</v>
      </c>
      <c r="B119" s="31">
        <v>3</v>
      </c>
      <c r="C119" s="31" t="s">
        <v>53</v>
      </c>
      <c r="D119" s="41" t="s">
        <v>35</v>
      </c>
      <c r="E119" s="45" t="s">
        <v>133</v>
      </c>
      <c r="F119" s="45" t="s">
        <v>134</v>
      </c>
      <c r="G119" s="45">
        <v>97</v>
      </c>
      <c r="H119" s="362">
        <v>3</v>
      </c>
      <c r="I119" s="45">
        <f t="shared" si="1"/>
        <v>100</v>
      </c>
      <c r="J119" s="131" t="s">
        <v>111</v>
      </c>
      <c r="K119" s="91" t="s">
        <v>385</v>
      </c>
      <c r="L119" s="364" t="s">
        <v>379</v>
      </c>
      <c r="M119" s="122">
        <v>20</v>
      </c>
      <c r="N119" s="131" t="s">
        <v>458</v>
      </c>
      <c r="O119" s="210" t="s">
        <v>458</v>
      </c>
      <c r="P119" s="53">
        <v>0</v>
      </c>
      <c r="Q119" s="123" t="s">
        <v>458</v>
      </c>
      <c r="R119" s="121" t="s">
        <v>458</v>
      </c>
      <c r="S119" s="53">
        <v>0</v>
      </c>
      <c r="T119" s="122">
        <v>80</v>
      </c>
      <c r="U119" s="121" t="s">
        <v>458</v>
      </c>
      <c r="V119" s="121" t="s">
        <v>458</v>
      </c>
      <c r="W119" s="123" t="s">
        <v>458</v>
      </c>
      <c r="X119" s="81" t="s">
        <v>458</v>
      </c>
      <c r="Y119" s="73" t="s">
        <v>458</v>
      </c>
      <c r="Z119" s="73" t="s">
        <v>458</v>
      </c>
      <c r="AA119" s="81" t="s">
        <v>458</v>
      </c>
      <c r="AB119" s="81" t="s">
        <v>458</v>
      </c>
      <c r="AC119" s="81" t="s">
        <v>458</v>
      </c>
      <c r="AD119" s="81" t="s">
        <v>458</v>
      </c>
      <c r="AE119" s="81" t="s">
        <v>458</v>
      </c>
      <c r="AF119" s="81" t="s">
        <v>458</v>
      </c>
      <c r="AG119" s="298">
        <v>1.02</v>
      </c>
      <c r="AH119" s="78" t="s">
        <v>109</v>
      </c>
      <c r="AI119" s="59">
        <v>3.17</v>
      </c>
      <c r="AJ119" s="121" t="s">
        <v>271</v>
      </c>
      <c r="AK119" s="197" t="s">
        <v>458</v>
      </c>
      <c r="AL119" s="53">
        <v>20</v>
      </c>
      <c r="AM119" s="53">
        <v>20</v>
      </c>
      <c r="AN119" s="53">
        <v>0.3</v>
      </c>
      <c r="AO119" s="121" t="s">
        <v>167</v>
      </c>
      <c r="AP119" s="59">
        <v>6.6666699999999999</v>
      </c>
      <c r="AQ119" s="53">
        <v>3</v>
      </c>
      <c r="AR119" s="41">
        <v>3.4102600000000001</v>
      </c>
      <c r="AS119" s="53">
        <v>3</v>
      </c>
      <c r="AT119" s="73" t="s">
        <v>458</v>
      </c>
      <c r="AU119" s="41">
        <v>74.08</v>
      </c>
    </row>
    <row r="120" spans="1:47" ht="16" x14ac:dyDescent="0.2">
      <c r="A120" s="25">
        <v>12</v>
      </c>
      <c r="B120" s="31">
        <v>3</v>
      </c>
      <c r="C120" s="31" t="s">
        <v>53</v>
      </c>
      <c r="D120" s="41" t="s">
        <v>35</v>
      </c>
      <c r="E120" s="45" t="s">
        <v>133</v>
      </c>
      <c r="F120" s="45" t="s">
        <v>134</v>
      </c>
      <c r="G120" s="45">
        <v>97</v>
      </c>
      <c r="H120" s="362">
        <v>3</v>
      </c>
      <c r="I120" s="45">
        <f t="shared" si="1"/>
        <v>100</v>
      </c>
      <c r="J120" s="131" t="s">
        <v>111</v>
      </c>
      <c r="K120" s="91" t="s">
        <v>385</v>
      </c>
      <c r="L120" s="364" t="s">
        <v>379</v>
      </c>
      <c r="M120" s="122">
        <v>20</v>
      </c>
      <c r="N120" s="131" t="s">
        <v>458</v>
      </c>
      <c r="O120" s="210" t="s">
        <v>458</v>
      </c>
      <c r="P120" s="53">
        <v>0</v>
      </c>
      <c r="Q120" s="123" t="s">
        <v>458</v>
      </c>
      <c r="R120" s="121" t="s">
        <v>458</v>
      </c>
      <c r="S120" s="53">
        <v>0</v>
      </c>
      <c r="T120" s="122">
        <v>80</v>
      </c>
      <c r="U120" s="121" t="s">
        <v>458</v>
      </c>
      <c r="V120" s="121" t="s">
        <v>458</v>
      </c>
      <c r="W120" s="123" t="s">
        <v>458</v>
      </c>
      <c r="X120" s="81" t="s">
        <v>458</v>
      </c>
      <c r="Y120" s="73" t="s">
        <v>458</v>
      </c>
      <c r="Z120" s="73" t="s">
        <v>458</v>
      </c>
      <c r="AA120" s="81" t="s">
        <v>458</v>
      </c>
      <c r="AB120" s="81" t="s">
        <v>458</v>
      </c>
      <c r="AC120" s="81" t="s">
        <v>458</v>
      </c>
      <c r="AD120" s="81" t="s">
        <v>458</v>
      </c>
      <c r="AE120" s="81" t="s">
        <v>458</v>
      </c>
      <c r="AF120" s="81" t="s">
        <v>458</v>
      </c>
      <c r="AG120" s="298">
        <v>1.02</v>
      </c>
      <c r="AH120" s="78" t="s">
        <v>109</v>
      </c>
      <c r="AI120" s="59">
        <v>3.17</v>
      </c>
      <c r="AJ120" s="121" t="s">
        <v>271</v>
      </c>
      <c r="AK120" s="197" t="s">
        <v>458</v>
      </c>
      <c r="AL120" s="53">
        <v>20</v>
      </c>
      <c r="AM120" s="53">
        <v>20</v>
      </c>
      <c r="AN120" s="53">
        <v>0.3</v>
      </c>
      <c r="AO120" s="121" t="s">
        <v>167</v>
      </c>
      <c r="AP120" s="59">
        <v>9.7023799999999998</v>
      </c>
      <c r="AQ120" s="53">
        <v>5</v>
      </c>
      <c r="AR120" s="41">
        <v>4.5589700000000004</v>
      </c>
      <c r="AS120" s="53">
        <v>5</v>
      </c>
      <c r="AT120" s="73" t="s">
        <v>458</v>
      </c>
      <c r="AU120" s="41">
        <v>74.08</v>
      </c>
    </row>
    <row r="121" spans="1:47" ht="16" x14ac:dyDescent="0.2">
      <c r="A121" s="25">
        <v>12</v>
      </c>
      <c r="B121" s="31">
        <v>3</v>
      </c>
      <c r="C121" s="31" t="s">
        <v>53</v>
      </c>
      <c r="D121" s="41" t="s">
        <v>35</v>
      </c>
      <c r="E121" s="45" t="s">
        <v>133</v>
      </c>
      <c r="F121" s="45" t="s">
        <v>134</v>
      </c>
      <c r="G121" s="45">
        <v>97</v>
      </c>
      <c r="H121" s="362">
        <v>3</v>
      </c>
      <c r="I121" s="45">
        <f t="shared" si="1"/>
        <v>100</v>
      </c>
      <c r="J121" s="131" t="s">
        <v>111</v>
      </c>
      <c r="K121" s="91" t="s">
        <v>385</v>
      </c>
      <c r="L121" s="364" t="s">
        <v>379</v>
      </c>
      <c r="M121" s="122">
        <v>20</v>
      </c>
      <c r="N121" s="131" t="s">
        <v>458</v>
      </c>
      <c r="O121" s="210" t="s">
        <v>458</v>
      </c>
      <c r="P121" s="53">
        <v>0</v>
      </c>
      <c r="Q121" s="123" t="s">
        <v>458</v>
      </c>
      <c r="R121" s="121" t="s">
        <v>458</v>
      </c>
      <c r="S121" s="53">
        <v>0</v>
      </c>
      <c r="T121" s="122">
        <v>80</v>
      </c>
      <c r="U121" s="121" t="s">
        <v>458</v>
      </c>
      <c r="V121" s="121" t="s">
        <v>458</v>
      </c>
      <c r="W121" s="123" t="s">
        <v>458</v>
      </c>
      <c r="X121" s="81" t="s">
        <v>458</v>
      </c>
      <c r="Y121" s="73" t="s">
        <v>458</v>
      </c>
      <c r="Z121" s="73" t="s">
        <v>458</v>
      </c>
      <c r="AA121" s="81" t="s">
        <v>458</v>
      </c>
      <c r="AB121" s="81" t="s">
        <v>458</v>
      </c>
      <c r="AC121" s="81" t="s">
        <v>458</v>
      </c>
      <c r="AD121" s="81" t="s">
        <v>458</v>
      </c>
      <c r="AE121" s="81" t="s">
        <v>458</v>
      </c>
      <c r="AF121" s="81" t="s">
        <v>458</v>
      </c>
      <c r="AG121" s="298">
        <v>1.02</v>
      </c>
      <c r="AH121" s="78" t="s">
        <v>109</v>
      </c>
      <c r="AI121" s="59">
        <v>3.17</v>
      </c>
      <c r="AJ121" s="121" t="s">
        <v>271</v>
      </c>
      <c r="AK121" s="197" t="s">
        <v>458</v>
      </c>
      <c r="AL121" s="53">
        <v>20</v>
      </c>
      <c r="AM121" s="53">
        <v>20</v>
      </c>
      <c r="AN121" s="53">
        <v>0.3</v>
      </c>
      <c r="AO121" s="121" t="s">
        <v>167</v>
      </c>
      <c r="AP121" s="59">
        <v>11.309530000000001</v>
      </c>
      <c r="AQ121" s="53">
        <v>7</v>
      </c>
      <c r="AR121" s="41">
        <v>5.1871799999999997</v>
      </c>
      <c r="AS121" s="53">
        <v>7</v>
      </c>
      <c r="AT121" s="73" t="s">
        <v>458</v>
      </c>
      <c r="AU121" s="41">
        <v>74.08</v>
      </c>
    </row>
    <row r="122" spans="1:47" ht="16" x14ac:dyDescent="0.2">
      <c r="A122" s="25">
        <v>12</v>
      </c>
      <c r="B122" s="31">
        <v>3</v>
      </c>
      <c r="C122" s="31" t="s">
        <v>53</v>
      </c>
      <c r="D122" s="41" t="s">
        <v>35</v>
      </c>
      <c r="E122" s="45" t="s">
        <v>133</v>
      </c>
      <c r="F122" s="45" t="s">
        <v>134</v>
      </c>
      <c r="G122" s="45">
        <v>97</v>
      </c>
      <c r="H122" s="362">
        <v>3</v>
      </c>
      <c r="I122" s="45">
        <f t="shared" si="1"/>
        <v>100</v>
      </c>
      <c r="J122" s="131" t="s">
        <v>111</v>
      </c>
      <c r="K122" s="91" t="s">
        <v>385</v>
      </c>
      <c r="L122" s="364" t="s">
        <v>379</v>
      </c>
      <c r="M122" s="122">
        <v>20</v>
      </c>
      <c r="N122" s="131" t="s">
        <v>458</v>
      </c>
      <c r="O122" s="210" t="s">
        <v>458</v>
      </c>
      <c r="P122" s="53">
        <v>0</v>
      </c>
      <c r="Q122" s="123" t="s">
        <v>458</v>
      </c>
      <c r="R122" s="121" t="s">
        <v>458</v>
      </c>
      <c r="S122" s="53">
        <v>0</v>
      </c>
      <c r="T122" s="122">
        <v>80</v>
      </c>
      <c r="U122" s="121" t="s">
        <v>458</v>
      </c>
      <c r="V122" s="121" t="s">
        <v>458</v>
      </c>
      <c r="W122" s="123" t="s">
        <v>458</v>
      </c>
      <c r="X122" s="81" t="s">
        <v>458</v>
      </c>
      <c r="Y122" s="73" t="s">
        <v>458</v>
      </c>
      <c r="Z122" s="73" t="s">
        <v>458</v>
      </c>
      <c r="AA122" s="81" t="s">
        <v>458</v>
      </c>
      <c r="AB122" s="81" t="s">
        <v>458</v>
      </c>
      <c r="AC122" s="81" t="s">
        <v>458</v>
      </c>
      <c r="AD122" s="81" t="s">
        <v>458</v>
      </c>
      <c r="AE122" s="81" t="s">
        <v>458</v>
      </c>
      <c r="AF122" s="81" t="s">
        <v>458</v>
      </c>
      <c r="AG122" s="298">
        <v>1.02</v>
      </c>
      <c r="AH122" s="78" t="s">
        <v>109</v>
      </c>
      <c r="AI122" s="59">
        <v>3.17</v>
      </c>
      <c r="AJ122" s="121" t="s">
        <v>271</v>
      </c>
      <c r="AK122" s="197" t="s">
        <v>458</v>
      </c>
      <c r="AL122" s="53">
        <v>20</v>
      </c>
      <c r="AM122" s="53">
        <v>20</v>
      </c>
      <c r="AN122" s="53">
        <v>0.3</v>
      </c>
      <c r="AO122" s="121" t="s">
        <v>167</v>
      </c>
      <c r="AP122" s="59">
        <v>12.79762</v>
      </c>
      <c r="AQ122" s="53">
        <v>9</v>
      </c>
      <c r="AR122" s="41">
        <v>5.1512799999999999</v>
      </c>
      <c r="AS122" s="53">
        <v>9</v>
      </c>
      <c r="AT122" s="73" t="s">
        <v>458</v>
      </c>
      <c r="AU122" s="41">
        <v>74.08</v>
      </c>
    </row>
    <row r="123" spans="1:47" ht="16" x14ac:dyDescent="0.2">
      <c r="A123" s="25">
        <v>12</v>
      </c>
      <c r="B123" s="31">
        <v>4</v>
      </c>
      <c r="C123" s="31" t="s">
        <v>54</v>
      </c>
      <c r="D123" s="41" t="s">
        <v>36</v>
      </c>
      <c r="E123" s="45" t="s">
        <v>133</v>
      </c>
      <c r="F123" s="45" t="s">
        <v>134</v>
      </c>
      <c r="G123" s="45">
        <v>97</v>
      </c>
      <c r="H123" s="362">
        <v>3</v>
      </c>
      <c r="I123" s="45">
        <f t="shared" si="1"/>
        <v>100</v>
      </c>
      <c r="J123" s="131" t="s">
        <v>111</v>
      </c>
      <c r="K123" s="91" t="s">
        <v>385</v>
      </c>
      <c r="L123" s="364" t="s">
        <v>379</v>
      </c>
      <c r="M123" s="122">
        <v>30</v>
      </c>
      <c r="N123" s="131" t="s">
        <v>458</v>
      </c>
      <c r="O123" s="210" t="s">
        <v>458</v>
      </c>
      <c r="P123" s="53">
        <v>0</v>
      </c>
      <c r="Q123" s="123" t="s">
        <v>458</v>
      </c>
      <c r="R123" s="121" t="s">
        <v>458</v>
      </c>
      <c r="S123" s="53">
        <v>0</v>
      </c>
      <c r="T123" s="122">
        <v>70</v>
      </c>
      <c r="U123" s="121" t="s">
        <v>458</v>
      </c>
      <c r="V123" s="121" t="s">
        <v>458</v>
      </c>
      <c r="W123" s="123" t="s">
        <v>458</v>
      </c>
      <c r="X123" s="81" t="s">
        <v>458</v>
      </c>
      <c r="Y123" s="73" t="s">
        <v>458</v>
      </c>
      <c r="Z123" s="73" t="s">
        <v>458</v>
      </c>
      <c r="AA123" s="81" t="s">
        <v>458</v>
      </c>
      <c r="AB123" s="81" t="s">
        <v>458</v>
      </c>
      <c r="AC123" s="81" t="s">
        <v>458</v>
      </c>
      <c r="AD123" s="81" t="s">
        <v>458</v>
      </c>
      <c r="AE123" s="81" t="s">
        <v>458</v>
      </c>
      <c r="AF123" s="81" t="s">
        <v>458</v>
      </c>
      <c r="AG123" s="298">
        <v>0.91</v>
      </c>
      <c r="AH123" s="78" t="s">
        <v>109</v>
      </c>
      <c r="AI123" s="59">
        <v>4.21</v>
      </c>
      <c r="AJ123" s="121" t="s">
        <v>271</v>
      </c>
      <c r="AK123" s="197" t="s">
        <v>458</v>
      </c>
      <c r="AL123" s="53">
        <v>20</v>
      </c>
      <c r="AM123" s="53">
        <v>20</v>
      </c>
      <c r="AN123" s="53">
        <v>0.3</v>
      </c>
      <c r="AO123" s="121" t="s">
        <v>167</v>
      </c>
      <c r="AP123" s="59">
        <v>4.5833300000000001</v>
      </c>
      <c r="AQ123" s="53">
        <v>1</v>
      </c>
      <c r="AR123" s="41">
        <v>2.7282000000000002</v>
      </c>
      <c r="AS123" s="53">
        <v>1</v>
      </c>
      <c r="AT123" s="73" t="s">
        <v>458</v>
      </c>
      <c r="AU123" s="41">
        <v>71.540000000000006</v>
      </c>
    </row>
    <row r="124" spans="1:47" ht="16" x14ac:dyDescent="0.2">
      <c r="A124" s="25">
        <v>12</v>
      </c>
      <c r="B124" s="31">
        <v>4</v>
      </c>
      <c r="C124" s="31" t="s">
        <v>54</v>
      </c>
      <c r="D124" s="41" t="s">
        <v>36</v>
      </c>
      <c r="E124" s="45" t="s">
        <v>133</v>
      </c>
      <c r="F124" s="45" t="s">
        <v>134</v>
      </c>
      <c r="G124" s="45">
        <v>97</v>
      </c>
      <c r="H124" s="362">
        <v>3</v>
      </c>
      <c r="I124" s="45">
        <f t="shared" si="1"/>
        <v>100</v>
      </c>
      <c r="J124" s="131" t="s">
        <v>111</v>
      </c>
      <c r="K124" s="91" t="s">
        <v>385</v>
      </c>
      <c r="L124" s="364" t="s">
        <v>379</v>
      </c>
      <c r="M124" s="122">
        <v>30</v>
      </c>
      <c r="N124" s="131" t="s">
        <v>458</v>
      </c>
      <c r="O124" s="210" t="s">
        <v>458</v>
      </c>
      <c r="P124" s="53">
        <v>0</v>
      </c>
      <c r="Q124" s="123" t="s">
        <v>458</v>
      </c>
      <c r="R124" s="121" t="s">
        <v>458</v>
      </c>
      <c r="S124" s="53">
        <v>0</v>
      </c>
      <c r="T124" s="122">
        <v>70</v>
      </c>
      <c r="U124" s="121" t="s">
        <v>458</v>
      </c>
      <c r="V124" s="121" t="s">
        <v>458</v>
      </c>
      <c r="W124" s="123" t="s">
        <v>458</v>
      </c>
      <c r="X124" s="81" t="s">
        <v>458</v>
      </c>
      <c r="Y124" s="73" t="s">
        <v>458</v>
      </c>
      <c r="Z124" s="73" t="s">
        <v>458</v>
      </c>
      <c r="AA124" s="81" t="s">
        <v>458</v>
      </c>
      <c r="AB124" s="81" t="s">
        <v>458</v>
      </c>
      <c r="AC124" s="81" t="s">
        <v>458</v>
      </c>
      <c r="AD124" s="81" t="s">
        <v>458</v>
      </c>
      <c r="AE124" s="81" t="s">
        <v>458</v>
      </c>
      <c r="AF124" s="81" t="s">
        <v>458</v>
      </c>
      <c r="AG124" s="298">
        <v>0.91</v>
      </c>
      <c r="AH124" s="78" t="s">
        <v>109</v>
      </c>
      <c r="AI124" s="59">
        <v>4.21</v>
      </c>
      <c r="AJ124" s="121" t="s">
        <v>271</v>
      </c>
      <c r="AK124" s="197" t="s">
        <v>458</v>
      </c>
      <c r="AL124" s="53">
        <v>20</v>
      </c>
      <c r="AM124" s="53">
        <v>20</v>
      </c>
      <c r="AN124" s="53">
        <v>0.3</v>
      </c>
      <c r="AO124" s="121" t="s">
        <v>167</v>
      </c>
      <c r="AP124" s="59">
        <v>8.5119100000000003</v>
      </c>
      <c r="AQ124" s="53">
        <v>3</v>
      </c>
      <c r="AR124" s="41">
        <v>3.6974399999999998</v>
      </c>
      <c r="AS124" s="53">
        <v>3</v>
      </c>
      <c r="AT124" s="73" t="s">
        <v>458</v>
      </c>
      <c r="AU124" s="41">
        <v>71.540000000000006</v>
      </c>
    </row>
    <row r="125" spans="1:47" ht="16" x14ac:dyDescent="0.2">
      <c r="A125" s="25">
        <v>12</v>
      </c>
      <c r="B125" s="31">
        <v>4</v>
      </c>
      <c r="C125" s="31" t="s">
        <v>54</v>
      </c>
      <c r="D125" s="41" t="s">
        <v>36</v>
      </c>
      <c r="E125" s="45" t="s">
        <v>133</v>
      </c>
      <c r="F125" s="45" t="s">
        <v>134</v>
      </c>
      <c r="G125" s="45">
        <v>97</v>
      </c>
      <c r="H125" s="362">
        <v>3</v>
      </c>
      <c r="I125" s="45">
        <f t="shared" si="1"/>
        <v>100</v>
      </c>
      <c r="J125" s="131" t="s">
        <v>111</v>
      </c>
      <c r="K125" s="91" t="s">
        <v>385</v>
      </c>
      <c r="L125" s="364" t="s">
        <v>379</v>
      </c>
      <c r="M125" s="122">
        <v>30</v>
      </c>
      <c r="N125" s="131" t="s">
        <v>458</v>
      </c>
      <c r="O125" s="210" t="s">
        <v>458</v>
      </c>
      <c r="P125" s="53">
        <v>0</v>
      </c>
      <c r="Q125" s="123" t="s">
        <v>458</v>
      </c>
      <c r="R125" s="121" t="s">
        <v>458</v>
      </c>
      <c r="S125" s="53">
        <v>0</v>
      </c>
      <c r="T125" s="122">
        <v>70</v>
      </c>
      <c r="U125" s="121" t="s">
        <v>458</v>
      </c>
      <c r="V125" s="121" t="s">
        <v>458</v>
      </c>
      <c r="W125" s="123" t="s">
        <v>458</v>
      </c>
      <c r="X125" s="81" t="s">
        <v>458</v>
      </c>
      <c r="Y125" s="73" t="s">
        <v>458</v>
      </c>
      <c r="Z125" s="73" t="s">
        <v>458</v>
      </c>
      <c r="AA125" s="81" t="s">
        <v>458</v>
      </c>
      <c r="AB125" s="81" t="s">
        <v>458</v>
      </c>
      <c r="AC125" s="81" t="s">
        <v>458</v>
      </c>
      <c r="AD125" s="81" t="s">
        <v>458</v>
      </c>
      <c r="AE125" s="81" t="s">
        <v>458</v>
      </c>
      <c r="AF125" s="81" t="s">
        <v>458</v>
      </c>
      <c r="AG125" s="298">
        <v>0.91</v>
      </c>
      <c r="AH125" s="78" t="s">
        <v>109</v>
      </c>
      <c r="AI125" s="59">
        <v>4.21</v>
      </c>
      <c r="AJ125" s="121" t="s">
        <v>271</v>
      </c>
      <c r="AK125" s="197" t="s">
        <v>458</v>
      </c>
      <c r="AL125" s="53">
        <v>20</v>
      </c>
      <c r="AM125" s="53">
        <v>20</v>
      </c>
      <c r="AN125" s="53">
        <v>0.3</v>
      </c>
      <c r="AO125" s="121" t="s">
        <v>167</v>
      </c>
      <c r="AP125" s="59">
        <v>11.84524</v>
      </c>
      <c r="AQ125" s="53">
        <v>5</v>
      </c>
      <c r="AR125" s="41">
        <v>4.8461499999999997</v>
      </c>
      <c r="AS125" s="53">
        <v>5</v>
      </c>
      <c r="AT125" s="73" t="s">
        <v>458</v>
      </c>
      <c r="AU125" s="41">
        <v>71.540000000000006</v>
      </c>
    </row>
    <row r="126" spans="1:47" ht="16" x14ac:dyDescent="0.2">
      <c r="A126" s="25">
        <v>12</v>
      </c>
      <c r="B126" s="31">
        <v>4</v>
      </c>
      <c r="C126" s="31" t="s">
        <v>54</v>
      </c>
      <c r="D126" s="41" t="s">
        <v>36</v>
      </c>
      <c r="E126" s="45" t="s">
        <v>133</v>
      </c>
      <c r="F126" s="45" t="s">
        <v>134</v>
      </c>
      <c r="G126" s="45">
        <v>97</v>
      </c>
      <c r="H126" s="362">
        <v>3</v>
      </c>
      <c r="I126" s="45">
        <f t="shared" si="1"/>
        <v>100</v>
      </c>
      <c r="J126" s="131" t="s">
        <v>111</v>
      </c>
      <c r="K126" s="91" t="s">
        <v>385</v>
      </c>
      <c r="L126" s="364" t="s">
        <v>379</v>
      </c>
      <c r="M126" s="122">
        <v>30</v>
      </c>
      <c r="N126" s="131" t="s">
        <v>458</v>
      </c>
      <c r="O126" s="210" t="s">
        <v>458</v>
      </c>
      <c r="P126" s="53">
        <v>0</v>
      </c>
      <c r="Q126" s="123" t="s">
        <v>458</v>
      </c>
      <c r="R126" s="121" t="s">
        <v>458</v>
      </c>
      <c r="S126" s="53">
        <v>0</v>
      </c>
      <c r="T126" s="122">
        <v>70</v>
      </c>
      <c r="U126" s="121" t="s">
        <v>458</v>
      </c>
      <c r="V126" s="121" t="s">
        <v>458</v>
      </c>
      <c r="W126" s="123" t="s">
        <v>458</v>
      </c>
      <c r="X126" s="81" t="s">
        <v>458</v>
      </c>
      <c r="Y126" s="73" t="s">
        <v>458</v>
      </c>
      <c r="Z126" s="73" t="s">
        <v>458</v>
      </c>
      <c r="AA126" s="81" t="s">
        <v>458</v>
      </c>
      <c r="AB126" s="81" t="s">
        <v>458</v>
      </c>
      <c r="AC126" s="81" t="s">
        <v>458</v>
      </c>
      <c r="AD126" s="81" t="s">
        <v>458</v>
      </c>
      <c r="AE126" s="81" t="s">
        <v>458</v>
      </c>
      <c r="AF126" s="81" t="s">
        <v>458</v>
      </c>
      <c r="AG126" s="298">
        <v>0.91</v>
      </c>
      <c r="AH126" s="78" t="s">
        <v>109</v>
      </c>
      <c r="AI126" s="59">
        <v>4.21</v>
      </c>
      <c r="AJ126" s="121" t="s">
        <v>271</v>
      </c>
      <c r="AK126" s="197" t="s">
        <v>458</v>
      </c>
      <c r="AL126" s="53">
        <v>20</v>
      </c>
      <c r="AM126" s="53">
        <v>20</v>
      </c>
      <c r="AN126" s="53">
        <v>0.3</v>
      </c>
      <c r="AO126" s="121" t="s">
        <v>167</v>
      </c>
      <c r="AP126" s="59">
        <v>13.45238</v>
      </c>
      <c r="AQ126" s="53">
        <v>7</v>
      </c>
      <c r="AR126" s="41">
        <v>5.4743599999999999</v>
      </c>
      <c r="AS126" s="53">
        <v>7</v>
      </c>
      <c r="AT126" s="73" t="s">
        <v>458</v>
      </c>
      <c r="AU126" s="41">
        <v>71.540000000000006</v>
      </c>
    </row>
    <row r="127" spans="1:47" ht="16" x14ac:dyDescent="0.2">
      <c r="A127" s="25">
        <v>12</v>
      </c>
      <c r="B127" s="31">
        <v>4</v>
      </c>
      <c r="C127" s="31" t="s">
        <v>54</v>
      </c>
      <c r="D127" s="41" t="s">
        <v>36</v>
      </c>
      <c r="E127" s="45" t="s">
        <v>133</v>
      </c>
      <c r="F127" s="45" t="s">
        <v>134</v>
      </c>
      <c r="G127" s="45">
        <v>97</v>
      </c>
      <c r="H127" s="362">
        <v>3</v>
      </c>
      <c r="I127" s="45">
        <f t="shared" si="1"/>
        <v>100</v>
      </c>
      <c r="J127" s="131" t="s">
        <v>111</v>
      </c>
      <c r="K127" s="91" t="s">
        <v>385</v>
      </c>
      <c r="L127" s="364" t="s">
        <v>379</v>
      </c>
      <c r="M127" s="122">
        <v>30</v>
      </c>
      <c r="N127" s="131" t="s">
        <v>458</v>
      </c>
      <c r="O127" s="210" t="s">
        <v>458</v>
      </c>
      <c r="P127" s="53">
        <v>0</v>
      </c>
      <c r="Q127" s="123" t="s">
        <v>458</v>
      </c>
      <c r="R127" s="121" t="s">
        <v>458</v>
      </c>
      <c r="S127" s="53">
        <v>0</v>
      </c>
      <c r="T127" s="122">
        <v>70</v>
      </c>
      <c r="U127" s="121" t="s">
        <v>458</v>
      </c>
      <c r="V127" s="121" t="s">
        <v>458</v>
      </c>
      <c r="W127" s="123" t="s">
        <v>458</v>
      </c>
      <c r="X127" s="81" t="s">
        <v>458</v>
      </c>
      <c r="Y127" s="73" t="s">
        <v>458</v>
      </c>
      <c r="Z127" s="73" t="s">
        <v>458</v>
      </c>
      <c r="AA127" s="81" t="s">
        <v>458</v>
      </c>
      <c r="AB127" s="81" t="s">
        <v>458</v>
      </c>
      <c r="AC127" s="81" t="s">
        <v>458</v>
      </c>
      <c r="AD127" s="81" t="s">
        <v>458</v>
      </c>
      <c r="AE127" s="81" t="s">
        <v>458</v>
      </c>
      <c r="AF127" s="81" t="s">
        <v>458</v>
      </c>
      <c r="AG127" s="298">
        <v>0.91</v>
      </c>
      <c r="AH127" s="78" t="s">
        <v>109</v>
      </c>
      <c r="AI127" s="59">
        <v>4.21</v>
      </c>
      <c r="AJ127" s="121" t="s">
        <v>271</v>
      </c>
      <c r="AK127" s="197" t="s">
        <v>458</v>
      </c>
      <c r="AL127" s="53">
        <v>20</v>
      </c>
      <c r="AM127" s="53">
        <v>20</v>
      </c>
      <c r="AN127" s="53">
        <v>0.3</v>
      </c>
      <c r="AO127" s="121" t="s">
        <v>167</v>
      </c>
      <c r="AP127" s="59">
        <v>14.40476</v>
      </c>
      <c r="AQ127" s="53">
        <v>9</v>
      </c>
      <c r="AR127" s="41">
        <v>5.5102599999999997</v>
      </c>
      <c r="AS127" s="53">
        <v>9</v>
      </c>
      <c r="AT127" s="73" t="s">
        <v>458</v>
      </c>
      <c r="AU127" s="41">
        <v>71.540000000000006</v>
      </c>
    </row>
    <row r="128" spans="1:47" ht="16" x14ac:dyDescent="0.2">
      <c r="A128" s="25">
        <v>12</v>
      </c>
      <c r="B128" s="31">
        <v>5</v>
      </c>
      <c r="C128" s="31" t="s">
        <v>55</v>
      </c>
      <c r="D128" s="41" t="s">
        <v>37</v>
      </c>
      <c r="E128" s="45" t="s">
        <v>133</v>
      </c>
      <c r="F128" s="45" t="s">
        <v>134</v>
      </c>
      <c r="G128" s="45">
        <v>97</v>
      </c>
      <c r="H128" s="362">
        <v>3</v>
      </c>
      <c r="I128" s="45">
        <f t="shared" si="1"/>
        <v>100</v>
      </c>
      <c r="J128" s="131" t="s">
        <v>111</v>
      </c>
      <c r="K128" s="91" t="s">
        <v>385</v>
      </c>
      <c r="L128" s="364" t="s">
        <v>379</v>
      </c>
      <c r="M128" s="122">
        <v>40</v>
      </c>
      <c r="N128" s="131" t="s">
        <v>458</v>
      </c>
      <c r="O128" s="210" t="s">
        <v>458</v>
      </c>
      <c r="P128" s="53">
        <v>0</v>
      </c>
      <c r="Q128" s="123" t="s">
        <v>458</v>
      </c>
      <c r="R128" s="121" t="s">
        <v>458</v>
      </c>
      <c r="S128" s="53">
        <v>0</v>
      </c>
      <c r="T128" s="122">
        <v>60</v>
      </c>
      <c r="U128" s="121" t="s">
        <v>458</v>
      </c>
      <c r="V128" s="121" t="s">
        <v>458</v>
      </c>
      <c r="W128" s="123" t="s">
        <v>458</v>
      </c>
      <c r="X128" s="81" t="s">
        <v>458</v>
      </c>
      <c r="Y128" s="73" t="s">
        <v>458</v>
      </c>
      <c r="Z128" s="73" t="s">
        <v>458</v>
      </c>
      <c r="AA128" s="81" t="s">
        <v>458</v>
      </c>
      <c r="AB128" s="81" t="s">
        <v>458</v>
      </c>
      <c r="AC128" s="81" t="s">
        <v>458</v>
      </c>
      <c r="AD128" s="81" t="s">
        <v>458</v>
      </c>
      <c r="AE128" s="81" t="s">
        <v>458</v>
      </c>
      <c r="AF128" s="81" t="s">
        <v>458</v>
      </c>
      <c r="AG128" s="298">
        <v>0.86</v>
      </c>
      <c r="AH128" s="78" t="s">
        <v>109</v>
      </c>
      <c r="AI128" s="59">
        <v>4.6900000000000004</v>
      </c>
      <c r="AJ128" s="121" t="s">
        <v>271</v>
      </c>
      <c r="AK128" s="197" t="s">
        <v>458</v>
      </c>
      <c r="AL128" s="53">
        <v>20</v>
      </c>
      <c r="AM128" s="53">
        <v>20</v>
      </c>
      <c r="AN128" s="53">
        <v>0.3</v>
      </c>
      <c r="AO128" s="121" t="s">
        <v>167</v>
      </c>
      <c r="AP128" s="52">
        <v>5.2381000000000002</v>
      </c>
      <c r="AQ128" s="53">
        <v>1</v>
      </c>
      <c r="AR128" s="41">
        <v>2.9615399999999998</v>
      </c>
      <c r="AS128" s="53">
        <v>1</v>
      </c>
      <c r="AT128" s="73" t="s">
        <v>458</v>
      </c>
      <c r="AU128" s="41">
        <v>67.81</v>
      </c>
    </row>
    <row r="129" spans="1:47" ht="16" x14ac:dyDescent="0.2">
      <c r="A129" s="25">
        <v>12</v>
      </c>
      <c r="B129" s="31">
        <v>5</v>
      </c>
      <c r="C129" s="31" t="s">
        <v>55</v>
      </c>
      <c r="D129" s="41" t="s">
        <v>37</v>
      </c>
      <c r="E129" s="45" t="s">
        <v>133</v>
      </c>
      <c r="F129" s="45" t="s">
        <v>134</v>
      </c>
      <c r="G129" s="45">
        <v>97</v>
      </c>
      <c r="H129" s="362">
        <v>3</v>
      </c>
      <c r="I129" s="45">
        <f t="shared" si="1"/>
        <v>100</v>
      </c>
      <c r="J129" s="131" t="s">
        <v>111</v>
      </c>
      <c r="K129" s="91" t="s">
        <v>385</v>
      </c>
      <c r="L129" s="364" t="s">
        <v>379</v>
      </c>
      <c r="M129" s="122">
        <v>40</v>
      </c>
      <c r="N129" s="131" t="s">
        <v>458</v>
      </c>
      <c r="O129" s="210" t="s">
        <v>458</v>
      </c>
      <c r="P129" s="53">
        <v>0</v>
      </c>
      <c r="Q129" s="123" t="s">
        <v>458</v>
      </c>
      <c r="R129" s="121" t="s">
        <v>458</v>
      </c>
      <c r="S129" s="53">
        <v>0</v>
      </c>
      <c r="T129" s="122">
        <v>60</v>
      </c>
      <c r="U129" s="121" t="s">
        <v>458</v>
      </c>
      <c r="V129" s="121" t="s">
        <v>458</v>
      </c>
      <c r="W129" s="123" t="s">
        <v>458</v>
      </c>
      <c r="X129" s="81" t="s">
        <v>458</v>
      </c>
      <c r="Y129" s="73" t="s">
        <v>458</v>
      </c>
      <c r="Z129" s="73" t="s">
        <v>458</v>
      </c>
      <c r="AA129" s="81" t="s">
        <v>458</v>
      </c>
      <c r="AB129" s="81" t="s">
        <v>458</v>
      </c>
      <c r="AC129" s="81" t="s">
        <v>458</v>
      </c>
      <c r="AD129" s="81" t="s">
        <v>458</v>
      </c>
      <c r="AE129" s="81" t="s">
        <v>458</v>
      </c>
      <c r="AF129" s="81" t="s">
        <v>458</v>
      </c>
      <c r="AG129" s="298">
        <v>0.86</v>
      </c>
      <c r="AH129" s="78" t="s">
        <v>109</v>
      </c>
      <c r="AI129" s="59">
        <v>4.6900000000000004</v>
      </c>
      <c r="AJ129" s="121" t="s">
        <v>271</v>
      </c>
      <c r="AK129" s="197" t="s">
        <v>458</v>
      </c>
      <c r="AL129" s="53">
        <v>20</v>
      </c>
      <c r="AM129" s="53">
        <v>20</v>
      </c>
      <c r="AN129" s="53">
        <v>0.3</v>
      </c>
      <c r="AO129" s="121" t="s">
        <v>167</v>
      </c>
      <c r="AP129" s="59">
        <v>10.11905</v>
      </c>
      <c r="AQ129" s="53">
        <v>3</v>
      </c>
      <c r="AR129" s="41">
        <v>4.0923100000000003</v>
      </c>
      <c r="AS129" s="53">
        <v>3</v>
      </c>
      <c r="AT129" s="73" t="s">
        <v>458</v>
      </c>
      <c r="AU129" s="41">
        <v>67.81</v>
      </c>
    </row>
    <row r="130" spans="1:47" ht="16" x14ac:dyDescent="0.2">
      <c r="A130" s="25">
        <v>12</v>
      </c>
      <c r="B130" s="31">
        <v>5</v>
      </c>
      <c r="C130" s="31" t="s">
        <v>55</v>
      </c>
      <c r="D130" s="41" t="s">
        <v>37</v>
      </c>
      <c r="E130" s="45" t="s">
        <v>133</v>
      </c>
      <c r="F130" s="45" t="s">
        <v>134</v>
      </c>
      <c r="G130" s="45">
        <v>97</v>
      </c>
      <c r="H130" s="362">
        <v>3</v>
      </c>
      <c r="I130" s="45">
        <f t="shared" si="1"/>
        <v>100</v>
      </c>
      <c r="J130" s="131" t="s">
        <v>111</v>
      </c>
      <c r="K130" s="91" t="s">
        <v>385</v>
      </c>
      <c r="L130" s="364" t="s">
        <v>379</v>
      </c>
      <c r="M130" s="122">
        <v>40</v>
      </c>
      <c r="N130" s="131" t="s">
        <v>458</v>
      </c>
      <c r="O130" s="210" t="s">
        <v>458</v>
      </c>
      <c r="P130" s="53">
        <v>0</v>
      </c>
      <c r="Q130" s="123" t="s">
        <v>458</v>
      </c>
      <c r="R130" s="121" t="s">
        <v>458</v>
      </c>
      <c r="S130" s="53">
        <v>0</v>
      </c>
      <c r="T130" s="122">
        <v>60</v>
      </c>
      <c r="U130" s="121" t="s">
        <v>458</v>
      </c>
      <c r="V130" s="121" t="s">
        <v>458</v>
      </c>
      <c r="W130" s="123" t="s">
        <v>458</v>
      </c>
      <c r="X130" s="81" t="s">
        <v>458</v>
      </c>
      <c r="Y130" s="73" t="s">
        <v>458</v>
      </c>
      <c r="Z130" s="73" t="s">
        <v>458</v>
      </c>
      <c r="AA130" s="81" t="s">
        <v>458</v>
      </c>
      <c r="AB130" s="81" t="s">
        <v>458</v>
      </c>
      <c r="AC130" s="81" t="s">
        <v>458</v>
      </c>
      <c r="AD130" s="81" t="s">
        <v>458</v>
      </c>
      <c r="AE130" s="81" t="s">
        <v>458</v>
      </c>
      <c r="AF130" s="81" t="s">
        <v>458</v>
      </c>
      <c r="AG130" s="298">
        <v>0.86</v>
      </c>
      <c r="AH130" s="78" t="s">
        <v>109</v>
      </c>
      <c r="AI130" s="59">
        <v>4.6900000000000004</v>
      </c>
      <c r="AJ130" s="121" t="s">
        <v>271</v>
      </c>
      <c r="AK130" s="197" t="s">
        <v>458</v>
      </c>
      <c r="AL130" s="53">
        <v>20</v>
      </c>
      <c r="AM130" s="53">
        <v>20</v>
      </c>
      <c r="AN130" s="53">
        <v>0.3</v>
      </c>
      <c r="AO130" s="121" t="s">
        <v>167</v>
      </c>
      <c r="AP130" s="59">
        <v>13.03571</v>
      </c>
      <c r="AQ130" s="53">
        <v>5</v>
      </c>
      <c r="AR130" s="41">
        <v>5.04359</v>
      </c>
      <c r="AS130" s="53">
        <v>5</v>
      </c>
      <c r="AT130" s="73" t="s">
        <v>458</v>
      </c>
      <c r="AU130" s="41">
        <v>67.81</v>
      </c>
    </row>
    <row r="131" spans="1:47" ht="16" x14ac:dyDescent="0.2">
      <c r="A131" s="25">
        <v>12</v>
      </c>
      <c r="B131" s="31">
        <v>5</v>
      </c>
      <c r="C131" s="31" t="s">
        <v>55</v>
      </c>
      <c r="D131" s="41" t="s">
        <v>37</v>
      </c>
      <c r="E131" s="45" t="s">
        <v>133</v>
      </c>
      <c r="F131" s="45" t="s">
        <v>134</v>
      </c>
      <c r="G131" s="45">
        <v>97</v>
      </c>
      <c r="H131" s="362">
        <v>3</v>
      </c>
      <c r="I131" s="45">
        <f t="shared" ref="I131:I194" si="2">(T131+M131+P131+S131)</f>
        <v>100</v>
      </c>
      <c r="J131" s="131" t="s">
        <v>111</v>
      </c>
      <c r="K131" s="91" t="s">
        <v>385</v>
      </c>
      <c r="L131" s="364" t="s">
        <v>379</v>
      </c>
      <c r="M131" s="122">
        <v>40</v>
      </c>
      <c r="N131" s="131" t="s">
        <v>458</v>
      </c>
      <c r="O131" s="210" t="s">
        <v>458</v>
      </c>
      <c r="P131" s="53">
        <v>0</v>
      </c>
      <c r="Q131" s="123" t="s">
        <v>458</v>
      </c>
      <c r="R131" s="121" t="s">
        <v>458</v>
      </c>
      <c r="S131" s="53">
        <v>0</v>
      </c>
      <c r="T131" s="122">
        <v>60</v>
      </c>
      <c r="U131" s="121" t="s">
        <v>458</v>
      </c>
      <c r="V131" s="121" t="s">
        <v>458</v>
      </c>
      <c r="W131" s="123" t="s">
        <v>458</v>
      </c>
      <c r="X131" s="81" t="s">
        <v>458</v>
      </c>
      <c r="Y131" s="73" t="s">
        <v>458</v>
      </c>
      <c r="Z131" s="73" t="s">
        <v>458</v>
      </c>
      <c r="AA131" s="81" t="s">
        <v>458</v>
      </c>
      <c r="AB131" s="81" t="s">
        <v>458</v>
      </c>
      <c r="AC131" s="81" t="s">
        <v>458</v>
      </c>
      <c r="AD131" s="81" t="s">
        <v>458</v>
      </c>
      <c r="AE131" s="81" t="s">
        <v>458</v>
      </c>
      <c r="AF131" s="81" t="s">
        <v>458</v>
      </c>
      <c r="AG131" s="298">
        <v>0.86</v>
      </c>
      <c r="AH131" s="78" t="s">
        <v>109</v>
      </c>
      <c r="AI131" s="59">
        <v>4.6900000000000004</v>
      </c>
      <c r="AJ131" s="121" t="s">
        <v>271</v>
      </c>
      <c r="AK131" s="197" t="s">
        <v>458</v>
      </c>
      <c r="AL131" s="53">
        <v>20</v>
      </c>
      <c r="AM131" s="53">
        <v>20</v>
      </c>
      <c r="AN131" s="53">
        <v>0.3</v>
      </c>
      <c r="AO131" s="121" t="s">
        <v>167</v>
      </c>
      <c r="AP131" s="59">
        <v>15.476190000000001</v>
      </c>
      <c r="AQ131" s="53">
        <v>7</v>
      </c>
      <c r="AR131" s="41">
        <v>6.0128199999999996</v>
      </c>
      <c r="AS131" s="53">
        <v>7</v>
      </c>
      <c r="AT131" s="73" t="s">
        <v>458</v>
      </c>
      <c r="AU131" s="41">
        <v>67.81</v>
      </c>
    </row>
    <row r="132" spans="1:47" ht="16" x14ac:dyDescent="0.2">
      <c r="A132" s="25">
        <v>12</v>
      </c>
      <c r="B132" s="31">
        <v>5</v>
      </c>
      <c r="C132" s="31" t="s">
        <v>55</v>
      </c>
      <c r="D132" s="41" t="s">
        <v>37</v>
      </c>
      <c r="E132" s="45" t="s">
        <v>133</v>
      </c>
      <c r="F132" s="45" t="s">
        <v>134</v>
      </c>
      <c r="G132" s="45">
        <v>97</v>
      </c>
      <c r="H132" s="362">
        <v>3</v>
      </c>
      <c r="I132" s="45">
        <f t="shared" si="2"/>
        <v>100</v>
      </c>
      <c r="J132" s="131" t="s">
        <v>111</v>
      </c>
      <c r="K132" s="91" t="s">
        <v>385</v>
      </c>
      <c r="L132" s="364" t="s">
        <v>379</v>
      </c>
      <c r="M132" s="122">
        <v>40</v>
      </c>
      <c r="N132" s="131" t="s">
        <v>458</v>
      </c>
      <c r="O132" s="210" t="s">
        <v>458</v>
      </c>
      <c r="P132" s="53">
        <v>0</v>
      </c>
      <c r="Q132" s="123" t="s">
        <v>458</v>
      </c>
      <c r="R132" s="121" t="s">
        <v>458</v>
      </c>
      <c r="S132" s="53">
        <v>0</v>
      </c>
      <c r="T132" s="122">
        <v>60</v>
      </c>
      <c r="U132" s="121" t="s">
        <v>458</v>
      </c>
      <c r="V132" s="121" t="s">
        <v>458</v>
      </c>
      <c r="W132" s="123" t="s">
        <v>458</v>
      </c>
      <c r="X132" s="81" t="s">
        <v>458</v>
      </c>
      <c r="Y132" s="73" t="s">
        <v>458</v>
      </c>
      <c r="Z132" s="73" t="s">
        <v>458</v>
      </c>
      <c r="AA132" s="81" t="s">
        <v>458</v>
      </c>
      <c r="AB132" s="81" t="s">
        <v>458</v>
      </c>
      <c r="AC132" s="81" t="s">
        <v>458</v>
      </c>
      <c r="AD132" s="81" t="s">
        <v>458</v>
      </c>
      <c r="AE132" s="81" t="s">
        <v>458</v>
      </c>
      <c r="AF132" s="81" t="s">
        <v>458</v>
      </c>
      <c r="AG132" s="298">
        <v>0.86</v>
      </c>
      <c r="AH132" s="78" t="s">
        <v>109</v>
      </c>
      <c r="AI132" s="59">
        <v>4.6900000000000004</v>
      </c>
      <c r="AJ132" s="121" t="s">
        <v>271</v>
      </c>
      <c r="AK132" s="197" t="s">
        <v>458</v>
      </c>
      <c r="AL132" s="53">
        <v>20</v>
      </c>
      <c r="AM132" s="53">
        <v>20</v>
      </c>
      <c r="AN132" s="53">
        <v>0.3</v>
      </c>
      <c r="AO132" s="121" t="s">
        <v>167</v>
      </c>
      <c r="AP132" s="59">
        <v>16.547619999999998</v>
      </c>
      <c r="AQ132" s="53">
        <v>9</v>
      </c>
      <c r="AR132" s="41">
        <v>5.85128</v>
      </c>
      <c r="AS132" s="53">
        <v>9</v>
      </c>
      <c r="AT132" s="73" t="s">
        <v>458</v>
      </c>
      <c r="AU132" s="41">
        <v>67.81</v>
      </c>
    </row>
    <row r="133" spans="1:47" ht="16" x14ac:dyDescent="0.2">
      <c r="A133" s="25">
        <v>12</v>
      </c>
      <c r="B133" s="31">
        <v>6</v>
      </c>
      <c r="C133" s="31" t="s">
        <v>56</v>
      </c>
      <c r="D133" s="41" t="s">
        <v>38</v>
      </c>
      <c r="E133" s="45" t="s">
        <v>133</v>
      </c>
      <c r="F133" s="45" t="s">
        <v>134</v>
      </c>
      <c r="G133" s="45">
        <v>97</v>
      </c>
      <c r="H133" s="362">
        <v>3</v>
      </c>
      <c r="I133" s="45">
        <f t="shared" si="2"/>
        <v>100</v>
      </c>
      <c r="J133" s="131" t="s">
        <v>111</v>
      </c>
      <c r="K133" s="91" t="s">
        <v>385</v>
      </c>
      <c r="L133" s="364" t="s">
        <v>379</v>
      </c>
      <c r="M133" s="122">
        <v>50</v>
      </c>
      <c r="N133" s="131" t="s">
        <v>458</v>
      </c>
      <c r="O133" s="210" t="s">
        <v>458</v>
      </c>
      <c r="P133" s="53">
        <v>0</v>
      </c>
      <c r="Q133" s="123" t="s">
        <v>458</v>
      </c>
      <c r="R133" s="121" t="s">
        <v>458</v>
      </c>
      <c r="S133" s="53">
        <v>0</v>
      </c>
      <c r="T133" s="122">
        <v>50</v>
      </c>
      <c r="U133" s="121" t="s">
        <v>458</v>
      </c>
      <c r="V133" s="121" t="s">
        <v>458</v>
      </c>
      <c r="W133" s="123" t="s">
        <v>458</v>
      </c>
      <c r="X133" s="81" t="s">
        <v>458</v>
      </c>
      <c r="Y133" s="73" t="s">
        <v>458</v>
      </c>
      <c r="Z133" s="73" t="s">
        <v>458</v>
      </c>
      <c r="AA133" s="81" t="s">
        <v>458</v>
      </c>
      <c r="AB133" s="81" t="s">
        <v>458</v>
      </c>
      <c r="AC133" s="81" t="s">
        <v>458</v>
      </c>
      <c r="AD133" s="81" t="s">
        <v>458</v>
      </c>
      <c r="AE133" s="81" t="s">
        <v>458</v>
      </c>
      <c r="AF133" s="81" t="s">
        <v>458</v>
      </c>
      <c r="AG133" s="298">
        <v>0.79</v>
      </c>
      <c r="AH133" s="78" t="s">
        <v>109</v>
      </c>
      <c r="AI133" s="78">
        <v>5.01</v>
      </c>
      <c r="AJ133" s="121" t="s">
        <v>271</v>
      </c>
      <c r="AK133" s="197" t="s">
        <v>458</v>
      </c>
      <c r="AL133" s="53">
        <v>20</v>
      </c>
      <c r="AM133" s="53">
        <v>20</v>
      </c>
      <c r="AN133" s="53">
        <v>0.3</v>
      </c>
      <c r="AO133" s="121" t="s">
        <v>167</v>
      </c>
      <c r="AP133" s="59">
        <v>7.2</v>
      </c>
      <c r="AQ133" s="53">
        <v>1</v>
      </c>
      <c r="AR133" s="41">
        <v>2.9435899999999999</v>
      </c>
      <c r="AS133" s="53">
        <v>1</v>
      </c>
      <c r="AT133" s="73" t="s">
        <v>458</v>
      </c>
      <c r="AU133" s="41">
        <v>64.81</v>
      </c>
    </row>
    <row r="134" spans="1:47" ht="16" x14ac:dyDescent="0.2">
      <c r="A134" s="25">
        <v>12</v>
      </c>
      <c r="B134" s="31">
        <v>6</v>
      </c>
      <c r="C134" s="31" t="s">
        <v>56</v>
      </c>
      <c r="D134" s="41" t="s">
        <v>38</v>
      </c>
      <c r="E134" s="45" t="s">
        <v>133</v>
      </c>
      <c r="F134" s="45" t="s">
        <v>134</v>
      </c>
      <c r="G134" s="45">
        <v>97</v>
      </c>
      <c r="H134" s="362">
        <v>3</v>
      </c>
      <c r="I134" s="45">
        <f t="shared" si="2"/>
        <v>100</v>
      </c>
      <c r="J134" s="131" t="s">
        <v>111</v>
      </c>
      <c r="K134" s="91" t="s">
        <v>385</v>
      </c>
      <c r="L134" s="364" t="s">
        <v>379</v>
      </c>
      <c r="M134" s="122">
        <v>50</v>
      </c>
      <c r="N134" s="131" t="s">
        <v>458</v>
      </c>
      <c r="O134" s="210" t="s">
        <v>458</v>
      </c>
      <c r="P134" s="53">
        <v>0</v>
      </c>
      <c r="Q134" s="123" t="s">
        <v>458</v>
      </c>
      <c r="R134" s="121" t="s">
        <v>458</v>
      </c>
      <c r="S134" s="53">
        <v>0</v>
      </c>
      <c r="T134" s="122">
        <v>50</v>
      </c>
      <c r="U134" s="121" t="s">
        <v>458</v>
      </c>
      <c r="V134" s="121" t="s">
        <v>458</v>
      </c>
      <c r="W134" s="123" t="s">
        <v>458</v>
      </c>
      <c r="X134" s="81" t="s">
        <v>458</v>
      </c>
      <c r="Y134" s="73" t="s">
        <v>458</v>
      </c>
      <c r="Z134" s="73" t="s">
        <v>458</v>
      </c>
      <c r="AA134" s="81" t="s">
        <v>458</v>
      </c>
      <c r="AB134" s="81" t="s">
        <v>458</v>
      </c>
      <c r="AC134" s="81" t="s">
        <v>458</v>
      </c>
      <c r="AD134" s="81" t="s">
        <v>458</v>
      </c>
      <c r="AE134" s="81" t="s">
        <v>458</v>
      </c>
      <c r="AF134" s="81" t="s">
        <v>458</v>
      </c>
      <c r="AG134" s="298">
        <v>0.79</v>
      </c>
      <c r="AH134" s="78" t="s">
        <v>109</v>
      </c>
      <c r="AI134" s="78">
        <v>5.01</v>
      </c>
      <c r="AJ134" s="121" t="s">
        <v>271</v>
      </c>
      <c r="AK134" s="197" t="s">
        <v>458</v>
      </c>
      <c r="AL134" s="53">
        <v>20</v>
      </c>
      <c r="AM134" s="53">
        <v>20</v>
      </c>
      <c r="AN134" s="53">
        <v>0.3</v>
      </c>
      <c r="AO134" s="121" t="s">
        <v>167</v>
      </c>
      <c r="AP134" s="59">
        <v>12.08333</v>
      </c>
      <c r="AQ134" s="53">
        <v>3</v>
      </c>
      <c r="AR134" s="41">
        <v>4.5410300000000001</v>
      </c>
      <c r="AS134" s="53">
        <v>3</v>
      </c>
      <c r="AT134" s="73" t="s">
        <v>458</v>
      </c>
      <c r="AU134" s="41">
        <v>64.81</v>
      </c>
    </row>
    <row r="135" spans="1:47" ht="16" x14ac:dyDescent="0.2">
      <c r="A135" s="25">
        <v>12</v>
      </c>
      <c r="B135" s="31">
        <v>6</v>
      </c>
      <c r="C135" s="31" t="s">
        <v>56</v>
      </c>
      <c r="D135" s="41" t="s">
        <v>38</v>
      </c>
      <c r="E135" s="45" t="s">
        <v>133</v>
      </c>
      <c r="F135" s="45" t="s">
        <v>134</v>
      </c>
      <c r="G135" s="45">
        <v>97</v>
      </c>
      <c r="H135" s="362">
        <v>3</v>
      </c>
      <c r="I135" s="45">
        <f t="shared" si="2"/>
        <v>100</v>
      </c>
      <c r="J135" s="131" t="s">
        <v>111</v>
      </c>
      <c r="K135" s="91" t="s">
        <v>385</v>
      </c>
      <c r="L135" s="364" t="s">
        <v>379</v>
      </c>
      <c r="M135" s="122">
        <v>50</v>
      </c>
      <c r="N135" s="131" t="s">
        <v>458</v>
      </c>
      <c r="O135" s="210" t="s">
        <v>458</v>
      </c>
      <c r="P135" s="53">
        <v>0</v>
      </c>
      <c r="Q135" s="123" t="s">
        <v>458</v>
      </c>
      <c r="R135" s="121" t="s">
        <v>458</v>
      </c>
      <c r="S135" s="53">
        <v>0</v>
      </c>
      <c r="T135" s="122">
        <v>50</v>
      </c>
      <c r="U135" s="121" t="s">
        <v>458</v>
      </c>
      <c r="V135" s="121" t="s">
        <v>458</v>
      </c>
      <c r="W135" s="123" t="s">
        <v>458</v>
      </c>
      <c r="X135" s="81" t="s">
        <v>458</v>
      </c>
      <c r="Y135" s="73" t="s">
        <v>458</v>
      </c>
      <c r="Z135" s="73" t="s">
        <v>458</v>
      </c>
      <c r="AA135" s="81" t="s">
        <v>458</v>
      </c>
      <c r="AB135" s="81" t="s">
        <v>458</v>
      </c>
      <c r="AC135" s="81" t="s">
        <v>458</v>
      </c>
      <c r="AD135" s="81" t="s">
        <v>458</v>
      </c>
      <c r="AE135" s="81" t="s">
        <v>458</v>
      </c>
      <c r="AF135" s="81" t="s">
        <v>458</v>
      </c>
      <c r="AG135" s="298">
        <v>0.79</v>
      </c>
      <c r="AH135" s="78" t="s">
        <v>109</v>
      </c>
      <c r="AI135" s="78">
        <v>5.01</v>
      </c>
      <c r="AJ135" s="121" t="s">
        <v>271</v>
      </c>
      <c r="AK135" s="197" t="s">
        <v>458</v>
      </c>
      <c r="AL135" s="53">
        <v>20</v>
      </c>
      <c r="AM135" s="53">
        <v>20</v>
      </c>
      <c r="AN135" s="53">
        <v>0.3</v>
      </c>
      <c r="AO135" s="121" t="s">
        <v>167</v>
      </c>
      <c r="AP135" s="59">
        <v>15.357139999999999</v>
      </c>
      <c r="AQ135" s="53">
        <v>5</v>
      </c>
      <c r="AR135" s="41">
        <v>5.5102599999999997</v>
      </c>
      <c r="AS135" s="53">
        <v>5</v>
      </c>
      <c r="AT135" s="73" t="s">
        <v>458</v>
      </c>
      <c r="AU135" s="41">
        <v>64.81</v>
      </c>
    </row>
    <row r="136" spans="1:47" ht="16" x14ac:dyDescent="0.2">
      <c r="A136" s="25">
        <v>12</v>
      </c>
      <c r="B136" s="31">
        <v>6</v>
      </c>
      <c r="C136" s="31" t="s">
        <v>56</v>
      </c>
      <c r="D136" s="41" t="s">
        <v>38</v>
      </c>
      <c r="E136" s="45" t="s">
        <v>133</v>
      </c>
      <c r="F136" s="45" t="s">
        <v>134</v>
      </c>
      <c r="G136" s="45">
        <v>97</v>
      </c>
      <c r="H136" s="362">
        <v>3</v>
      </c>
      <c r="I136" s="45">
        <f t="shared" si="2"/>
        <v>100</v>
      </c>
      <c r="J136" s="131" t="s">
        <v>111</v>
      </c>
      <c r="K136" s="91" t="s">
        <v>385</v>
      </c>
      <c r="L136" s="364" t="s">
        <v>379</v>
      </c>
      <c r="M136" s="122">
        <v>50</v>
      </c>
      <c r="N136" s="131" t="s">
        <v>458</v>
      </c>
      <c r="O136" s="210" t="s">
        <v>458</v>
      </c>
      <c r="P136" s="53">
        <v>0</v>
      </c>
      <c r="Q136" s="123" t="s">
        <v>458</v>
      </c>
      <c r="R136" s="121" t="s">
        <v>458</v>
      </c>
      <c r="S136" s="53">
        <v>0</v>
      </c>
      <c r="T136" s="122">
        <v>50</v>
      </c>
      <c r="U136" s="121" t="s">
        <v>458</v>
      </c>
      <c r="V136" s="121" t="s">
        <v>458</v>
      </c>
      <c r="W136" s="123" t="s">
        <v>458</v>
      </c>
      <c r="X136" s="81" t="s">
        <v>458</v>
      </c>
      <c r="Y136" s="73" t="s">
        <v>458</v>
      </c>
      <c r="Z136" s="73" t="s">
        <v>458</v>
      </c>
      <c r="AA136" s="81" t="s">
        <v>458</v>
      </c>
      <c r="AB136" s="81" t="s">
        <v>458</v>
      </c>
      <c r="AC136" s="81" t="s">
        <v>458</v>
      </c>
      <c r="AD136" s="81" t="s">
        <v>458</v>
      </c>
      <c r="AE136" s="81" t="s">
        <v>458</v>
      </c>
      <c r="AF136" s="81" t="s">
        <v>458</v>
      </c>
      <c r="AG136" s="298">
        <v>0.79</v>
      </c>
      <c r="AH136" s="78" t="s">
        <v>109</v>
      </c>
      <c r="AI136" s="78">
        <v>5.01</v>
      </c>
      <c r="AJ136" s="121" t="s">
        <v>271</v>
      </c>
      <c r="AK136" s="197" t="s">
        <v>458</v>
      </c>
      <c r="AL136" s="53">
        <v>20</v>
      </c>
      <c r="AM136" s="53">
        <v>20</v>
      </c>
      <c r="AN136" s="53">
        <v>0.3</v>
      </c>
      <c r="AO136" s="121" t="s">
        <v>167</v>
      </c>
      <c r="AP136" s="59">
        <v>17.738099999999999</v>
      </c>
      <c r="AQ136" s="53">
        <v>7</v>
      </c>
      <c r="AR136" s="41">
        <v>6.4615400000000003</v>
      </c>
      <c r="AS136" s="53">
        <v>7</v>
      </c>
      <c r="AT136" s="73" t="s">
        <v>458</v>
      </c>
      <c r="AU136" s="41">
        <v>64.81</v>
      </c>
    </row>
    <row r="137" spans="1:47" s="18" customFormat="1" ht="16" x14ac:dyDescent="0.2">
      <c r="A137" s="26">
        <v>12</v>
      </c>
      <c r="B137" s="32">
        <v>6</v>
      </c>
      <c r="C137" s="32" t="s">
        <v>56</v>
      </c>
      <c r="D137" s="43" t="s">
        <v>38</v>
      </c>
      <c r="E137" s="46" t="s">
        <v>133</v>
      </c>
      <c r="F137" s="46" t="s">
        <v>134</v>
      </c>
      <c r="G137" s="46">
        <v>97</v>
      </c>
      <c r="H137" s="363">
        <v>3</v>
      </c>
      <c r="I137" s="46">
        <f t="shared" si="2"/>
        <v>100</v>
      </c>
      <c r="J137" s="161" t="s">
        <v>111</v>
      </c>
      <c r="K137" s="100" t="s">
        <v>385</v>
      </c>
      <c r="L137" s="365" t="s">
        <v>379</v>
      </c>
      <c r="M137" s="158">
        <v>50</v>
      </c>
      <c r="N137" s="161" t="s">
        <v>458</v>
      </c>
      <c r="O137" s="211" t="s">
        <v>458</v>
      </c>
      <c r="P137" s="54">
        <v>0</v>
      </c>
      <c r="Q137" s="127" t="s">
        <v>458</v>
      </c>
      <c r="R137" s="125" t="s">
        <v>458</v>
      </c>
      <c r="S137" s="54">
        <v>0</v>
      </c>
      <c r="T137" s="158">
        <v>50</v>
      </c>
      <c r="U137" s="125" t="s">
        <v>458</v>
      </c>
      <c r="V137" s="125" t="s">
        <v>458</v>
      </c>
      <c r="W137" s="127" t="s">
        <v>458</v>
      </c>
      <c r="X137" s="89" t="s">
        <v>458</v>
      </c>
      <c r="Y137" s="74" t="s">
        <v>458</v>
      </c>
      <c r="Z137" s="74" t="s">
        <v>458</v>
      </c>
      <c r="AA137" s="89" t="s">
        <v>458</v>
      </c>
      <c r="AB137" s="89" t="s">
        <v>458</v>
      </c>
      <c r="AC137" s="89" t="s">
        <v>458</v>
      </c>
      <c r="AD137" s="89" t="s">
        <v>458</v>
      </c>
      <c r="AE137" s="89" t="s">
        <v>458</v>
      </c>
      <c r="AF137" s="89" t="s">
        <v>458</v>
      </c>
      <c r="AG137" s="299">
        <v>0.79</v>
      </c>
      <c r="AH137" s="79" t="s">
        <v>109</v>
      </c>
      <c r="AI137" s="79">
        <v>5.01</v>
      </c>
      <c r="AJ137" s="125" t="s">
        <v>271</v>
      </c>
      <c r="AK137" s="198" t="s">
        <v>458</v>
      </c>
      <c r="AL137" s="54">
        <v>20</v>
      </c>
      <c r="AM137" s="54">
        <v>20</v>
      </c>
      <c r="AN137" s="54">
        <v>0.3</v>
      </c>
      <c r="AO137" s="125" t="s">
        <v>167</v>
      </c>
      <c r="AP137" s="60">
        <v>18.630949999999999</v>
      </c>
      <c r="AQ137" s="54">
        <v>9</v>
      </c>
      <c r="AR137" s="43">
        <v>6.3358999999999996</v>
      </c>
      <c r="AS137" s="54">
        <v>9</v>
      </c>
      <c r="AT137" s="74" t="s">
        <v>458</v>
      </c>
      <c r="AU137" s="43">
        <v>64.81</v>
      </c>
    </row>
    <row r="138" spans="1:47" ht="16" x14ac:dyDescent="0.2">
      <c r="A138" s="25">
        <v>13</v>
      </c>
      <c r="B138" s="31">
        <v>1</v>
      </c>
      <c r="C138" s="31" t="s">
        <v>58</v>
      </c>
      <c r="D138" s="41" t="s">
        <v>33</v>
      </c>
      <c r="E138" s="45" t="s">
        <v>133</v>
      </c>
      <c r="F138" s="45" t="s">
        <v>134</v>
      </c>
      <c r="G138" s="362" t="s">
        <v>476</v>
      </c>
      <c r="H138" s="362" t="s">
        <v>478</v>
      </c>
      <c r="I138" s="45">
        <f t="shared" si="2"/>
        <v>100</v>
      </c>
      <c r="J138" s="306" t="s">
        <v>285</v>
      </c>
      <c r="K138" s="52" t="s">
        <v>458</v>
      </c>
      <c r="L138" s="269" t="s">
        <v>458</v>
      </c>
      <c r="M138" s="132">
        <v>0</v>
      </c>
      <c r="N138" s="118" t="s">
        <v>458</v>
      </c>
      <c r="O138" s="118" t="s">
        <v>458</v>
      </c>
      <c r="P138" s="53">
        <v>0</v>
      </c>
      <c r="Q138" s="118" t="s">
        <v>458</v>
      </c>
      <c r="R138" s="118" t="s">
        <v>458</v>
      </c>
      <c r="S138" s="53">
        <v>0</v>
      </c>
      <c r="T138" s="53">
        <v>100</v>
      </c>
      <c r="U138" s="53">
        <v>129.17500000000001</v>
      </c>
      <c r="V138" s="53">
        <v>0</v>
      </c>
      <c r="W138" s="123" t="s">
        <v>458</v>
      </c>
      <c r="X138" s="123" t="s">
        <v>458</v>
      </c>
      <c r="Y138" s="73" t="s">
        <v>458</v>
      </c>
      <c r="Z138" s="73" t="s">
        <v>458</v>
      </c>
      <c r="AA138" s="123" t="s">
        <v>458</v>
      </c>
      <c r="AB138" s="123" t="s">
        <v>458</v>
      </c>
      <c r="AC138" s="123" t="s">
        <v>458</v>
      </c>
      <c r="AD138" s="123" t="s">
        <v>458</v>
      </c>
      <c r="AE138" s="123" t="s">
        <v>458</v>
      </c>
      <c r="AF138" s="123" t="s">
        <v>458</v>
      </c>
      <c r="AG138" s="300" t="s">
        <v>458</v>
      </c>
      <c r="AH138" s="123" t="s">
        <v>458</v>
      </c>
      <c r="AI138" s="123" t="s">
        <v>458</v>
      </c>
      <c r="AJ138" s="193" t="s">
        <v>277</v>
      </c>
      <c r="AK138" s="197" t="s">
        <v>458</v>
      </c>
      <c r="AL138" s="139" t="s">
        <v>458</v>
      </c>
      <c r="AM138" s="139" t="s">
        <v>458</v>
      </c>
      <c r="AN138" s="139" t="s">
        <v>458</v>
      </c>
      <c r="AO138" s="139" t="s">
        <v>458</v>
      </c>
      <c r="AP138" s="136" t="s">
        <v>458</v>
      </c>
      <c r="AQ138" s="139" t="s">
        <v>458</v>
      </c>
      <c r="AR138" s="139" t="s">
        <v>458</v>
      </c>
      <c r="AS138" s="139" t="s">
        <v>458</v>
      </c>
      <c r="AT138" s="136" t="s">
        <v>458</v>
      </c>
      <c r="AU138" s="139" t="s">
        <v>458</v>
      </c>
    </row>
    <row r="139" spans="1:47" ht="16" x14ac:dyDescent="0.2">
      <c r="A139" s="25">
        <v>13</v>
      </c>
      <c r="B139" s="31">
        <v>1</v>
      </c>
      <c r="C139" s="31" t="s">
        <v>58</v>
      </c>
      <c r="D139" s="41" t="s">
        <v>33</v>
      </c>
      <c r="E139" s="45" t="s">
        <v>133</v>
      </c>
      <c r="F139" s="45" t="s">
        <v>134</v>
      </c>
      <c r="G139" s="362" t="s">
        <v>476</v>
      </c>
      <c r="H139" s="362" t="s">
        <v>478</v>
      </c>
      <c r="I139" s="45">
        <f t="shared" si="2"/>
        <v>100</v>
      </c>
      <c r="J139" s="306" t="s">
        <v>285</v>
      </c>
      <c r="K139" s="52" t="s">
        <v>458</v>
      </c>
      <c r="L139" s="269" t="s">
        <v>458</v>
      </c>
      <c r="M139" s="132">
        <v>0</v>
      </c>
      <c r="N139" s="118" t="s">
        <v>458</v>
      </c>
      <c r="O139" s="118" t="s">
        <v>458</v>
      </c>
      <c r="P139" s="53">
        <v>0</v>
      </c>
      <c r="Q139" s="118" t="s">
        <v>458</v>
      </c>
      <c r="R139" s="118" t="s">
        <v>458</v>
      </c>
      <c r="S139" s="53">
        <v>0</v>
      </c>
      <c r="T139" s="53">
        <v>100</v>
      </c>
      <c r="U139" s="53">
        <v>123.328</v>
      </c>
      <c r="V139" s="53">
        <v>3</v>
      </c>
      <c r="W139" s="123" t="s">
        <v>458</v>
      </c>
      <c r="X139" s="123" t="s">
        <v>458</v>
      </c>
      <c r="Y139" s="73" t="s">
        <v>458</v>
      </c>
      <c r="Z139" s="73" t="s">
        <v>458</v>
      </c>
      <c r="AA139" s="123" t="s">
        <v>458</v>
      </c>
      <c r="AB139" s="123" t="s">
        <v>458</v>
      </c>
      <c r="AC139" s="123" t="s">
        <v>458</v>
      </c>
      <c r="AD139" s="123" t="s">
        <v>458</v>
      </c>
      <c r="AE139" s="123" t="s">
        <v>458</v>
      </c>
      <c r="AF139" s="123" t="s">
        <v>458</v>
      </c>
      <c r="AG139" s="300" t="s">
        <v>458</v>
      </c>
      <c r="AH139" s="123" t="s">
        <v>458</v>
      </c>
      <c r="AI139" s="123" t="s">
        <v>458</v>
      </c>
      <c r="AJ139" s="193" t="s">
        <v>277</v>
      </c>
      <c r="AK139" s="197" t="s">
        <v>458</v>
      </c>
      <c r="AL139" s="139" t="s">
        <v>458</v>
      </c>
      <c r="AM139" s="139" t="s">
        <v>458</v>
      </c>
      <c r="AN139" s="139" t="s">
        <v>458</v>
      </c>
      <c r="AO139" s="139" t="s">
        <v>458</v>
      </c>
      <c r="AP139" s="136" t="s">
        <v>458</v>
      </c>
      <c r="AQ139" s="139" t="s">
        <v>458</v>
      </c>
      <c r="AR139" s="139" t="s">
        <v>458</v>
      </c>
      <c r="AS139" s="139" t="s">
        <v>458</v>
      </c>
      <c r="AT139" s="136" t="s">
        <v>458</v>
      </c>
      <c r="AU139" s="139" t="s">
        <v>458</v>
      </c>
    </row>
    <row r="140" spans="1:47" ht="16" x14ac:dyDescent="0.2">
      <c r="A140" s="25">
        <v>13</v>
      </c>
      <c r="B140" s="31">
        <v>2</v>
      </c>
      <c r="C140" s="31" t="s">
        <v>59</v>
      </c>
      <c r="D140" s="41" t="s">
        <v>274</v>
      </c>
      <c r="E140" s="45" t="s">
        <v>133</v>
      </c>
      <c r="F140" s="45" t="s">
        <v>134</v>
      </c>
      <c r="G140" s="362" t="s">
        <v>476</v>
      </c>
      <c r="H140" s="362" t="s">
        <v>478</v>
      </c>
      <c r="I140" s="45">
        <f t="shared" si="2"/>
        <v>100</v>
      </c>
      <c r="J140" s="132" t="s">
        <v>111</v>
      </c>
      <c r="K140" s="52" t="s">
        <v>381</v>
      </c>
      <c r="L140" s="244" t="s">
        <v>426</v>
      </c>
      <c r="M140" s="132">
        <v>8</v>
      </c>
      <c r="N140" s="118" t="s">
        <v>458</v>
      </c>
      <c r="O140" s="118" t="s">
        <v>458</v>
      </c>
      <c r="P140" s="53">
        <v>0</v>
      </c>
      <c r="Q140" s="118" t="s">
        <v>458</v>
      </c>
      <c r="R140" s="118" t="s">
        <v>458</v>
      </c>
      <c r="S140" s="53">
        <v>0</v>
      </c>
      <c r="T140" s="53">
        <v>92</v>
      </c>
      <c r="U140" s="53">
        <v>154.649</v>
      </c>
      <c r="V140" s="53">
        <v>0</v>
      </c>
      <c r="W140" s="123" t="s">
        <v>458</v>
      </c>
      <c r="X140" s="123" t="s">
        <v>458</v>
      </c>
      <c r="Y140" s="73" t="s">
        <v>458</v>
      </c>
      <c r="Z140" s="73" t="s">
        <v>458</v>
      </c>
      <c r="AA140" s="123" t="s">
        <v>458</v>
      </c>
      <c r="AB140" s="123" t="s">
        <v>458</v>
      </c>
      <c r="AC140" s="123" t="s">
        <v>458</v>
      </c>
      <c r="AD140" s="123" t="s">
        <v>458</v>
      </c>
      <c r="AE140" s="123" t="s">
        <v>458</v>
      </c>
      <c r="AF140" s="123" t="s">
        <v>458</v>
      </c>
      <c r="AG140" s="300" t="s">
        <v>458</v>
      </c>
      <c r="AH140" s="123" t="s">
        <v>458</v>
      </c>
      <c r="AI140" s="123" t="s">
        <v>458</v>
      </c>
      <c r="AJ140" s="193" t="s">
        <v>277</v>
      </c>
      <c r="AK140" s="197" t="s">
        <v>458</v>
      </c>
      <c r="AL140" s="139" t="s">
        <v>458</v>
      </c>
      <c r="AM140" s="139" t="s">
        <v>458</v>
      </c>
      <c r="AN140" s="139" t="s">
        <v>458</v>
      </c>
      <c r="AO140" s="139" t="s">
        <v>458</v>
      </c>
      <c r="AP140" s="136" t="s">
        <v>458</v>
      </c>
      <c r="AQ140" s="139" t="s">
        <v>458</v>
      </c>
      <c r="AR140" s="139" t="s">
        <v>458</v>
      </c>
      <c r="AS140" s="139" t="s">
        <v>458</v>
      </c>
      <c r="AT140" s="136" t="s">
        <v>458</v>
      </c>
      <c r="AU140" s="139" t="s">
        <v>458</v>
      </c>
    </row>
    <row r="141" spans="1:47" ht="16" x14ac:dyDescent="0.2">
      <c r="A141" s="25">
        <v>13</v>
      </c>
      <c r="B141" s="31">
        <v>2</v>
      </c>
      <c r="C141" s="31" t="s">
        <v>59</v>
      </c>
      <c r="D141" s="41" t="s">
        <v>274</v>
      </c>
      <c r="E141" s="45" t="s">
        <v>133</v>
      </c>
      <c r="F141" s="45" t="s">
        <v>134</v>
      </c>
      <c r="G141" s="362" t="s">
        <v>476</v>
      </c>
      <c r="H141" s="362" t="s">
        <v>478</v>
      </c>
      <c r="I141" s="45">
        <f t="shared" si="2"/>
        <v>100</v>
      </c>
      <c r="J141" s="132" t="s">
        <v>111</v>
      </c>
      <c r="K141" s="52" t="s">
        <v>381</v>
      </c>
      <c r="L141" s="244" t="s">
        <v>426</v>
      </c>
      <c r="M141" s="132">
        <v>8</v>
      </c>
      <c r="N141" s="118" t="s">
        <v>458</v>
      </c>
      <c r="O141" s="118" t="s">
        <v>458</v>
      </c>
      <c r="P141" s="53">
        <v>0</v>
      </c>
      <c r="Q141" s="118" t="s">
        <v>458</v>
      </c>
      <c r="R141" s="118" t="s">
        <v>458</v>
      </c>
      <c r="S141" s="53">
        <v>0</v>
      </c>
      <c r="T141" s="53">
        <v>92</v>
      </c>
      <c r="U141" s="53">
        <v>145.65199999999999</v>
      </c>
      <c r="V141" s="53">
        <v>3</v>
      </c>
      <c r="W141" s="123" t="s">
        <v>458</v>
      </c>
      <c r="X141" s="123" t="s">
        <v>458</v>
      </c>
      <c r="Y141" s="73" t="s">
        <v>458</v>
      </c>
      <c r="Z141" s="73" t="s">
        <v>458</v>
      </c>
      <c r="AA141" s="123" t="s">
        <v>458</v>
      </c>
      <c r="AB141" s="123" t="s">
        <v>458</v>
      </c>
      <c r="AC141" s="123" t="s">
        <v>458</v>
      </c>
      <c r="AD141" s="123" t="s">
        <v>458</v>
      </c>
      <c r="AE141" s="123" t="s">
        <v>458</v>
      </c>
      <c r="AF141" s="123" t="s">
        <v>458</v>
      </c>
      <c r="AG141" s="300" t="s">
        <v>458</v>
      </c>
      <c r="AH141" s="123" t="s">
        <v>458</v>
      </c>
      <c r="AI141" s="123" t="s">
        <v>458</v>
      </c>
      <c r="AJ141" s="193" t="s">
        <v>277</v>
      </c>
      <c r="AK141" s="197" t="s">
        <v>458</v>
      </c>
      <c r="AL141" s="139" t="s">
        <v>458</v>
      </c>
      <c r="AM141" s="139" t="s">
        <v>458</v>
      </c>
      <c r="AN141" s="139" t="s">
        <v>458</v>
      </c>
      <c r="AO141" s="139" t="s">
        <v>458</v>
      </c>
      <c r="AP141" s="136" t="s">
        <v>458</v>
      </c>
      <c r="AQ141" s="139" t="s">
        <v>458</v>
      </c>
      <c r="AR141" s="139" t="s">
        <v>458</v>
      </c>
      <c r="AS141" s="139" t="s">
        <v>458</v>
      </c>
      <c r="AT141" s="136" t="s">
        <v>458</v>
      </c>
      <c r="AU141" s="139" t="s">
        <v>458</v>
      </c>
    </row>
    <row r="142" spans="1:47" ht="16" x14ac:dyDescent="0.2">
      <c r="A142" s="25">
        <v>13</v>
      </c>
      <c r="B142" s="31">
        <v>3</v>
      </c>
      <c r="C142" s="29" t="s">
        <v>57</v>
      </c>
      <c r="D142" s="41" t="s">
        <v>275</v>
      </c>
      <c r="E142" s="45" t="s">
        <v>133</v>
      </c>
      <c r="F142" s="45" t="s">
        <v>134</v>
      </c>
      <c r="G142" s="362" t="s">
        <v>476</v>
      </c>
      <c r="H142" s="362" t="s">
        <v>478</v>
      </c>
      <c r="I142" s="45">
        <f t="shared" si="2"/>
        <v>100</v>
      </c>
      <c r="J142" s="132" t="s">
        <v>111</v>
      </c>
      <c r="K142" s="52" t="s">
        <v>381</v>
      </c>
      <c r="L142" s="244" t="s">
        <v>426</v>
      </c>
      <c r="M142" s="133">
        <v>8</v>
      </c>
      <c r="N142" s="118" t="s">
        <v>391</v>
      </c>
      <c r="O142" s="244" t="s">
        <v>379</v>
      </c>
      <c r="P142" s="53">
        <v>3</v>
      </c>
      <c r="Q142" s="118" t="s">
        <v>458</v>
      </c>
      <c r="R142" s="118" t="s">
        <v>458</v>
      </c>
      <c r="S142" s="53">
        <v>0</v>
      </c>
      <c r="T142" s="53">
        <v>89</v>
      </c>
      <c r="U142" s="53">
        <v>130.47300000000001</v>
      </c>
      <c r="V142" s="53">
        <v>0</v>
      </c>
      <c r="W142" s="123" t="s">
        <v>458</v>
      </c>
      <c r="X142" s="123" t="s">
        <v>458</v>
      </c>
      <c r="Y142" s="73" t="s">
        <v>458</v>
      </c>
      <c r="Z142" s="73" t="s">
        <v>458</v>
      </c>
      <c r="AA142" s="123" t="s">
        <v>458</v>
      </c>
      <c r="AB142" s="123" t="s">
        <v>458</v>
      </c>
      <c r="AC142" s="123" t="s">
        <v>458</v>
      </c>
      <c r="AD142" s="123" t="s">
        <v>458</v>
      </c>
      <c r="AE142" s="123" t="s">
        <v>458</v>
      </c>
      <c r="AF142" s="123" t="s">
        <v>458</v>
      </c>
      <c r="AG142" s="300" t="s">
        <v>458</v>
      </c>
      <c r="AH142" s="123" t="s">
        <v>458</v>
      </c>
      <c r="AI142" s="123" t="s">
        <v>458</v>
      </c>
      <c r="AJ142" s="193" t="s">
        <v>277</v>
      </c>
      <c r="AK142" s="197" t="s">
        <v>458</v>
      </c>
      <c r="AL142" s="139" t="s">
        <v>458</v>
      </c>
      <c r="AM142" s="139" t="s">
        <v>458</v>
      </c>
      <c r="AN142" s="139" t="s">
        <v>458</v>
      </c>
      <c r="AO142" s="139" t="s">
        <v>458</v>
      </c>
      <c r="AP142" s="136" t="s">
        <v>458</v>
      </c>
      <c r="AQ142" s="139" t="s">
        <v>458</v>
      </c>
      <c r="AR142" s="139" t="s">
        <v>458</v>
      </c>
      <c r="AS142" s="139" t="s">
        <v>458</v>
      </c>
      <c r="AT142" s="136" t="s">
        <v>458</v>
      </c>
      <c r="AU142" s="139" t="s">
        <v>458</v>
      </c>
    </row>
    <row r="143" spans="1:47" ht="16" x14ac:dyDescent="0.2">
      <c r="A143" s="25">
        <v>13</v>
      </c>
      <c r="B143" s="31">
        <v>3</v>
      </c>
      <c r="C143" s="29" t="s">
        <v>57</v>
      </c>
      <c r="D143" s="41" t="s">
        <v>275</v>
      </c>
      <c r="E143" s="45" t="s">
        <v>133</v>
      </c>
      <c r="F143" s="45" t="s">
        <v>134</v>
      </c>
      <c r="G143" s="362" t="s">
        <v>476</v>
      </c>
      <c r="H143" s="362" t="s">
        <v>478</v>
      </c>
      <c r="I143" s="45">
        <f t="shared" si="2"/>
        <v>100</v>
      </c>
      <c r="J143" s="132" t="s">
        <v>111</v>
      </c>
      <c r="K143" s="52" t="s">
        <v>381</v>
      </c>
      <c r="L143" s="244" t="s">
        <v>426</v>
      </c>
      <c r="M143" s="133">
        <v>8</v>
      </c>
      <c r="N143" s="118" t="s">
        <v>391</v>
      </c>
      <c r="O143" s="244" t="s">
        <v>379</v>
      </c>
      <c r="P143" s="53">
        <v>3</v>
      </c>
      <c r="Q143" s="118" t="s">
        <v>458</v>
      </c>
      <c r="R143" s="118" t="s">
        <v>458</v>
      </c>
      <c r="S143" s="53">
        <v>0</v>
      </c>
      <c r="T143" s="53">
        <v>89</v>
      </c>
      <c r="U143" s="307">
        <v>114.249</v>
      </c>
      <c r="V143" s="53">
        <v>3</v>
      </c>
      <c r="W143" s="123" t="s">
        <v>458</v>
      </c>
      <c r="X143" s="123" t="s">
        <v>458</v>
      </c>
      <c r="Y143" s="73" t="s">
        <v>458</v>
      </c>
      <c r="Z143" s="73" t="s">
        <v>458</v>
      </c>
      <c r="AA143" s="123" t="s">
        <v>458</v>
      </c>
      <c r="AB143" s="123" t="s">
        <v>458</v>
      </c>
      <c r="AC143" s="123" t="s">
        <v>458</v>
      </c>
      <c r="AD143" s="123" t="s">
        <v>458</v>
      </c>
      <c r="AE143" s="123" t="s">
        <v>458</v>
      </c>
      <c r="AF143" s="123" t="s">
        <v>458</v>
      </c>
      <c r="AG143" s="300" t="s">
        <v>458</v>
      </c>
      <c r="AH143" s="123" t="s">
        <v>458</v>
      </c>
      <c r="AI143" s="123" t="s">
        <v>458</v>
      </c>
      <c r="AJ143" s="193" t="s">
        <v>277</v>
      </c>
      <c r="AK143" s="197" t="s">
        <v>458</v>
      </c>
      <c r="AL143" s="139" t="s">
        <v>458</v>
      </c>
      <c r="AM143" s="139" t="s">
        <v>458</v>
      </c>
      <c r="AN143" s="139" t="s">
        <v>458</v>
      </c>
      <c r="AO143" s="139" t="s">
        <v>458</v>
      </c>
      <c r="AP143" s="136" t="s">
        <v>458</v>
      </c>
      <c r="AQ143" s="139" t="s">
        <v>458</v>
      </c>
      <c r="AR143" s="139" t="s">
        <v>458</v>
      </c>
      <c r="AS143" s="139" t="s">
        <v>458</v>
      </c>
      <c r="AT143" s="136" t="s">
        <v>458</v>
      </c>
      <c r="AU143" s="139" t="s">
        <v>458</v>
      </c>
    </row>
    <row r="144" spans="1:47" ht="16" x14ac:dyDescent="0.2">
      <c r="A144" s="25">
        <v>13</v>
      </c>
      <c r="B144" s="31">
        <v>4</v>
      </c>
      <c r="C144" s="29" t="s">
        <v>60</v>
      </c>
      <c r="D144" s="41" t="s">
        <v>275</v>
      </c>
      <c r="E144" s="45" t="s">
        <v>133</v>
      </c>
      <c r="F144" s="45" t="s">
        <v>134</v>
      </c>
      <c r="G144" s="362" t="s">
        <v>476</v>
      </c>
      <c r="H144" s="362" t="s">
        <v>478</v>
      </c>
      <c r="I144" s="45">
        <f t="shared" si="2"/>
        <v>100</v>
      </c>
      <c r="J144" s="132" t="s">
        <v>111</v>
      </c>
      <c r="K144" s="52" t="s">
        <v>381</v>
      </c>
      <c r="L144" s="244" t="s">
        <v>426</v>
      </c>
      <c r="M144" s="133">
        <v>5.6</v>
      </c>
      <c r="N144" s="216" t="s">
        <v>392</v>
      </c>
      <c r="O144" s="244" t="s">
        <v>379</v>
      </c>
      <c r="P144" s="133">
        <v>5.4</v>
      </c>
      <c r="Q144" s="118" t="s">
        <v>458</v>
      </c>
      <c r="R144" s="118" t="s">
        <v>458</v>
      </c>
      <c r="S144" s="53">
        <v>0</v>
      </c>
      <c r="T144" s="53">
        <v>89</v>
      </c>
      <c r="U144" s="53">
        <v>128.47499999999999</v>
      </c>
      <c r="V144" s="53">
        <v>0</v>
      </c>
      <c r="W144" s="123" t="s">
        <v>458</v>
      </c>
      <c r="X144" s="123" t="s">
        <v>458</v>
      </c>
      <c r="Y144" s="73" t="s">
        <v>458</v>
      </c>
      <c r="Z144" s="73" t="s">
        <v>458</v>
      </c>
      <c r="AA144" s="123" t="s">
        <v>458</v>
      </c>
      <c r="AB144" s="123" t="s">
        <v>458</v>
      </c>
      <c r="AC144" s="123" t="s">
        <v>458</v>
      </c>
      <c r="AD144" s="123" t="s">
        <v>458</v>
      </c>
      <c r="AE144" s="123" t="s">
        <v>458</v>
      </c>
      <c r="AF144" s="123" t="s">
        <v>458</v>
      </c>
      <c r="AG144" s="300" t="s">
        <v>458</v>
      </c>
      <c r="AH144" s="123" t="s">
        <v>458</v>
      </c>
      <c r="AI144" s="123" t="s">
        <v>458</v>
      </c>
      <c r="AJ144" s="193" t="s">
        <v>277</v>
      </c>
      <c r="AK144" s="197" t="s">
        <v>458</v>
      </c>
      <c r="AL144" s="139" t="s">
        <v>458</v>
      </c>
      <c r="AM144" s="139" t="s">
        <v>458</v>
      </c>
      <c r="AN144" s="139" t="s">
        <v>458</v>
      </c>
      <c r="AO144" s="139" t="s">
        <v>458</v>
      </c>
      <c r="AP144" s="136" t="s">
        <v>458</v>
      </c>
      <c r="AQ144" s="139" t="s">
        <v>458</v>
      </c>
      <c r="AR144" s="139" t="s">
        <v>458</v>
      </c>
      <c r="AS144" s="139" t="s">
        <v>458</v>
      </c>
      <c r="AT144" s="136" t="s">
        <v>458</v>
      </c>
      <c r="AU144" s="139" t="s">
        <v>458</v>
      </c>
    </row>
    <row r="145" spans="1:47" ht="16" x14ac:dyDescent="0.2">
      <c r="A145" s="25">
        <v>13</v>
      </c>
      <c r="B145" s="31">
        <v>4</v>
      </c>
      <c r="C145" s="29" t="s">
        <v>57</v>
      </c>
      <c r="D145" s="41" t="s">
        <v>275</v>
      </c>
      <c r="E145" s="45" t="s">
        <v>133</v>
      </c>
      <c r="F145" s="45" t="s">
        <v>134</v>
      </c>
      <c r="G145" s="362" t="s">
        <v>476</v>
      </c>
      <c r="H145" s="362" t="s">
        <v>478</v>
      </c>
      <c r="I145" s="45">
        <f t="shared" si="2"/>
        <v>100</v>
      </c>
      <c r="J145" s="132" t="s">
        <v>111</v>
      </c>
      <c r="K145" s="52" t="s">
        <v>381</v>
      </c>
      <c r="L145" s="244" t="s">
        <v>426</v>
      </c>
      <c r="M145" s="133">
        <v>5.6</v>
      </c>
      <c r="N145" s="216" t="s">
        <v>392</v>
      </c>
      <c r="O145" s="244" t="s">
        <v>379</v>
      </c>
      <c r="P145" s="133">
        <v>5.4</v>
      </c>
      <c r="Q145" s="118" t="s">
        <v>458</v>
      </c>
      <c r="R145" s="118" t="s">
        <v>458</v>
      </c>
      <c r="S145" s="53">
        <v>0</v>
      </c>
      <c r="T145" s="53">
        <v>89</v>
      </c>
      <c r="U145" s="53">
        <v>118.032</v>
      </c>
      <c r="V145" s="53">
        <v>3</v>
      </c>
      <c r="W145" s="123" t="s">
        <v>458</v>
      </c>
      <c r="X145" s="123" t="s">
        <v>458</v>
      </c>
      <c r="Y145" s="73" t="s">
        <v>458</v>
      </c>
      <c r="Z145" s="73" t="s">
        <v>458</v>
      </c>
      <c r="AA145" s="123" t="s">
        <v>458</v>
      </c>
      <c r="AB145" s="123" t="s">
        <v>458</v>
      </c>
      <c r="AC145" s="123" t="s">
        <v>458</v>
      </c>
      <c r="AD145" s="123" t="s">
        <v>458</v>
      </c>
      <c r="AE145" s="123" t="s">
        <v>458</v>
      </c>
      <c r="AF145" s="123" t="s">
        <v>458</v>
      </c>
      <c r="AG145" s="300" t="s">
        <v>458</v>
      </c>
      <c r="AH145" s="123" t="s">
        <v>458</v>
      </c>
      <c r="AI145" s="123" t="s">
        <v>458</v>
      </c>
      <c r="AJ145" s="193" t="s">
        <v>277</v>
      </c>
      <c r="AK145" s="197" t="s">
        <v>458</v>
      </c>
      <c r="AL145" s="139" t="s">
        <v>458</v>
      </c>
      <c r="AM145" s="139" t="s">
        <v>458</v>
      </c>
      <c r="AN145" s="139" t="s">
        <v>458</v>
      </c>
      <c r="AO145" s="139" t="s">
        <v>458</v>
      </c>
      <c r="AP145" s="136" t="s">
        <v>458</v>
      </c>
      <c r="AQ145" s="139" t="s">
        <v>458</v>
      </c>
      <c r="AR145" s="139" t="s">
        <v>458</v>
      </c>
      <c r="AS145" s="139" t="s">
        <v>458</v>
      </c>
      <c r="AT145" s="136" t="s">
        <v>458</v>
      </c>
      <c r="AU145" s="139" t="s">
        <v>458</v>
      </c>
    </row>
    <row r="146" spans="1:47" ht="16" x14ac:dyDescent="0.2">
      <c r="A146" s="25">
        <v>13</v>
      </c>
      <c r="B146" s="31">
        <v>5</v>
      </c>
      <c r="C146" s="31" t="s">
        <v>61</v>
      </c>
      <c r="D146" s="41" t="s">
        <v>276</v>
      </c>
      <c r="E146" s="45" t="s">
        <v>133</v>
      </c>
      <c r="F146" s="45" t="s">
        <v>134</v>
      </c>
      <c r="G146" s="362" t="s">
        <v>476</v>
      </c>
      <c r="H146" s="362" t="s">
        <v>478</v>
      </c>
      <c r="I146" s="45">
        <f t="shared" si="2"/>
        <v>100</v>
      </c>
      <c r="J146" s="132" t="s">
        <v>111</v>
      </c>
      <c r="K146" s="52" t="s">
        <v>381</v>
      </c>
      <c r="L146" s="244" t="s">
        <v>426</v>
      </c>
      <c r="M146" s="133">
        <v>8</v>
      </c>
      <c r="N146" s="216" t="s">
        <v>392</v>
      </c>
      <c r="O146" s="244" t="s">
        <v>379</v>
      </c>
      <c r="P146" s="133">
        <v>5.4</v>
      </c>
      <c r="Q146" s="118" t="s">
        <v>458</v>
      </c>
      <c r="R146" s="118" t="s">
        <v>458</v>
      </c>
      <c r="S146" s="53">
        <v>0</v>
      </c>
      <c r="T146" s="53">
        <v>86.6</v>
      </c>
      <c r="U146" s="53">
        <v>153.999</v>
      </c>
      <c r="V146" s="53">
        <v>0</v>
      </c>
      <c r="W146" s="123" t="s">
        <v>458</v>
      </c>
      <c r="X146" s="123" t="s">
        <v>458</v>
      </c>
      <c r="Y146" s="73" t="s">
        <v>458</v>
      </c>
      <c r="Z146" s="73" t="s">
        <v>458</v>
      </c>
      <c r="AA146" s="123" t="s">
        <v>458</v>
      </c>
      <c r="AB146" s="123" t="s">
        <v>458</v>
      </c>
      <c r="AC146" s="123" t="s">
        <v>458</v>
      </c>
      <c r="AD146" s="123" t="s">
        <v>458</v>
      </c>
      <c r="AE146" s="123" t="s">
        <v>458</v>
      </c>
      <c r="AF146" s="123" t="s">
        <v>458</v>
      </c>
      <c r="AG146" s="300" t="s">
        <v>458</v>
      </c>
      <c r="AH146" s="123" t="s">
        <v>458</v>
      </c>
      <c r="AI146" s="123" t="s">
        <v>458</v>
      </c>
      <c r="AJ146" s="193" t="s">
        <v>277</v>
      </c>
      <c r="AK146" s="197" t="s">
        <v>458</v>
      </c>
      <c r="AL146" s="139" t="s">
        <v>458</v>
      </c>
      <c r="AM146" s="139" t="s">
        <v>458</v>
      </c>
      <c r="AN146" s="139" t="s">
        <v>458</v>
      </c>
      <c r="AO146" s="139" t="s">
        <v>458</v>
      </c>
      <c r="AP146" s="136" t="s">
        <v>458</v>
      </c>
      <c r="AQ146" s="139" t="s">
        <v>458</v>
      </c>
      <c r="AR146" s="139" t="s">
        <v>458</v>
      </c>
      <c r="AS146" s="139" t="s">
        <v>458</v>
      </c>
      <c r="AT146" s="136" t="s">
        <v>458</v>
      </c>
      <c r="AU146" s="139" t="s">
        <v>458</v>
      </c>
    </row>
    <row r="147" spans="1:47" s="18" customFormat="1" ht="16" x14ac:dyDescent="0.2">
      <c r="A147" s="26">
        <v>13</v>
      </c>
      <c r="B147" s="32">
        <v>5</v>
      </c>
      <c r="C147" s="32" t="s">
        <v>61</v>
      </c>
      <c r="D147" s="43" t="s">
        <v>276</v>
      </c>
      <c r="E147" s="46" t="s">
        <v>133</v>
      </c>
      <c r="F147" s="46" t="s">
        <v>134</v>
      </c>
      <c r="G147" s="363" t="s">
        <v>476</v>
      </c>
      <c r="H147" s="363" t="s">
        <v>478</v>
      </c>
      <c r="I147" s="46">
        <f t="shared" si="2"/>
        <v>100</v>
      </c>
      <c r="J147" s="135" t="s">
        <v>111</v>
      </c>
      <c r="K147" s="84" t="s">
        <v>381</v>
      </c>
      <c r="L147" s="245" t="s">
        <v>426</v>
      </c>
      <c r="M147" s="134">
        <v>8</v>
      </c>
      <c r="N147" s="217" t="s">
        <v>392</v>
      </c>
      <c r="O147" s="245" t="s">
        <v>379</v>
      </c>
      <c r="P147" s="134">
        <v>5.4</v>
      </c>
      <c r="Q147" s="181" t="s">
        <v>458</v>
      </c>
      <c r="R147" s="181" t="s">
        <v>458</v>
      </c>
      <c r="S147" s="54">
        <v>0</v>
      </c>
      <c r="T147" s="54">
        <v>86.6</v>
      </c>
      <c r="U147" s="54">
        <v>151.22800000000001</v>
      </c>
      <c r="V147" s="54">
        <v>3</v>
      </c>
      <c r="W147" s="127" t="s">
        <v>458</v>
      </c>
      <c r="X147" s="127" t="s">
        <v>458</v>
      </c>
      <c r="Y147" s="74" t="s">
        <v>458</v>
      </c>
      <c r="Z147" s="74" t="s">
        <v>458</v>
      </c>
      <c r="AA147" s="127" t="s">
        <v>458</v>
      </c>
      <c r="AB147" s="127" t="s">
        <v>458</v>
      </c>
      <c r="AC147" s="127" t="s">
        <v>458</v>
      </c>
      <c r="AD147" s="127" t="s">
        <v>458</v>
      </c>
      <c r="AE147" s="127" t="s">
        <v>458</v>
      </c>
      <c r="AF147" s="127" t="s">
        <v>458</v>
      </c>
      <c r="AG147" s="301" t="s">
        <v>458</v>
      </c>
      <c r="AH147" s="127" t="s">
        <v>458</v>
      </c>
      <c r="AI147" s="127" t="s">
        <v>458</v>
      </c>
      <c r="AJ147" s="194" t="s">
        <v>277</v>
      </c>
      <c r="AK147" s="198" t="s">
        <v>458</v>
      </c>
      <c r="AL147" s="141" t="s">
        <v>458</v>
      </c>
      <c r="AM147" s="141" t="s">
        <v>458</v>
      </c>
      <c r="AN147" s="141" t="s">
        <v>458</v>
      </c>
      <c r="AO147" s="141" t="s">
        <v>458</v>
      </c>
      <c r="AP147" s="137" t="s">
        <v>458</v>
      </c>
      <c r="AQ147" s="141" t="s">
        <v>458</v>
      </c>
      <c r="AR147" s="141" t="s">
        <v>458</v>
      </c>
      <c r="AS147" s="141" t="s">
        <v>458</v>
      </c>
      <c r="AT147" s="137" t="s">
        <v>458</v>
      </c>
      <c r="AU147" s="141" t="s">
        <v>458</v>
      </c>
    </row>
    <row r="148" spans="1:47" ht="16" x14ac:dyDescent="0.2">
      <c r="A148" s="25">
        <v>14</v>
      </c>
      <c r="B148" s="31">
        <v>1</v>
      </c>
      <c r="C148" s="31" t="s">
        <v>62</v>
      </c>
      <c r="D148" s="41" t="s">
        <v>33</v>
      </c>
      <c r="E148" s="45" t="s">
        <v>133</v>
      </c>
      <c r="F148" s="45" t="s">
        <v>134</v>
      </c>
      <c r="G148" s="45">
        <v>97</v>
      </c>
      <c r="H148" s="362">
        <v>3</v>
      </c>
      <c r="I148" s="45">
        <f t="shared" si="2"/>
        <v>100</v>
      </c>
      <c r="J148" s="139" t="s">
        <v>285</v>
      </c>
      <c r="K148" s="136" t="s">
        <v>458</v>
      </c>
      <c r="L148" s="232" t="s">
        <v>458</v>
      </c>
      <c r="M148" s="53">
        <v>0</v>
      </c>
      <c r="N148" s="139" t="s">
        <v>458</v>
      </c>
      <c r="O148" s="136" t="s">
        <v>458</v>
      </c>
      <c r="P148" s="53">
        <v>0</v>
      </c>
      <c r="Q148" s="136" t="s">
        <v>458</v>
      </c>
      <c r="R148" s="139" t="s">
        <v>458</v>
      </c>
      <c r="S148" s="53">
        <v>0</v>
      </c>
      <c r="T148" s="53">
        <v>100</v>
      </c>
      <c r="U148" s="53" t="s">
        <v>458</v>
      </c>
      <c r="V148" s="53" t="s">
        <v>458</v>
      </c>
      <c r="W148" s="123" t="s">
        <v>458</v>
      </c>
      <c r="X148" s="123" t="s">
        <v>458</v>
      </c>
      <c r="Y148" s="73" t="s">
        <v>458</v>
      </c>
      <c r="Z148" s="73" t="s">
        <v>458</v>
      </c>
      <c r="AA148" s="123" t="s">
        <v>458</v>
      </c>
      <c r="AB148" s="123" t="s">
        <v>458</v>
      </c>
      <c r="AC148" s="123" t="s">
        <v>458</v>
      </c>
      <c r="AD148" s="123" t="s">
        <v>458</v>
      </c>
      <c r="AE148" s="123" t="s">
        <v>458</v>
      </c>
      <c r="AF148" s="123" t="s">
        <v>458</v>
      </c>
      <c r="AG148" s="286">
        <v>1.25</v>
      </c>
      <c r="AH148" s="78" t="s">
        <v>109</v>
      </c>
      <c r="AI148" s="123" t="s">
        <v>458</v>
      </c>
      <c r="AJ148" s="139" t="s">
        <v>289</v>
      </c>
      <c r="AK148" s="197" t="s">
        <v>458</v>
      </c>
      <c r="AL148" s="53">
        <v>1</v>
      </c>
      <c r="AM148" s="53">
        <v>1</v>
      </c>
      <c r="AN148" s="53">
        <v>0.1</v>
      </c>
      <c r="AO148" s="139" t="s">
        <v>167</v>
      </c>
      <c r="AP148" s="136" t="s">
        <v>458</v>
      </c>
      <c r="AQ148" s="139" t="s">
        <v>458</v>
      </c>
      <c r="AR148" s="139" t="s">
        <v>458</v>
      </c>
      <c r="AS148" s="139" t="s">
        <v>458</v>
      </c>
      <c r="AT148" s="136" t="s">
        <v>458</v>
      </c>
      <c r="AU148" s="139" t="s">
        <v>458</v>
      </c>
    </row>
    <row r="149" spans="1:47" ht="16" x14ac:dyDescent="0.2">
      <c r="A149" s="25">
        <v>14</v>
      </c>
      <c r="B149" s="31">
        <v>2</v>
      </c>
      <c r="C149" s="31" t="s">
        <v>63</v>
      </c>
      <c r="D149" s="41" t="s">
        <v>36</v>
      </c>
      <c r="E149" s="45" t="s">
        <v>133</v>
      </c>
      <c r="F149" s="45" t="s">
        <v>134</v>
      </c>
      <c r="G149" s="45">
        <v>97</v>
      </c>
      <c r="H149" s="362">
        <v>3</v>
      </c>
      <c r="I149" s="45">
        <f t="shared" si="2"/>
        <v>100</v>
      </c>
      <c r="J149" s="53" t="s">
        <v>111</v>
      </c>
      <c r="K149" s="136" t="s">
        <v>286</v>
      </c>
      <c r="L149" s="364" t="s">
        <v>379</v>
      </c>
      <c r="M149" s="139">
        <v>30</v>
      </c>
      <c r="N149" s="139" t="s">
        <v>458</v>
      </c>
      <c r="O149" s="139" t="s">
        <v>458</v>
      </c>
      <c r="P149" s="53">
        <v>0</v>
      </c>
      <c r="Q149" s="136" t="s">
        <v>458</v>
      </c>
      <c r="R149" s="136" t="s">
        <v>458</v>
      </c>
      <c r="S149" s="53">
        <v>0</v>
      </c>
      <c r="T149" s="139">
        <v>70</v>
      </c>
      <c r="U149" s="53" t="s">
        <v>458</v>
      </c>
      <c r="V149" s="53" t="s">
        <v>458</v>
      </c>
      <c r="W149" s="123" t="s">
        <v>458</v>
      </c>
      <c r="X149" s="123" t="s">
        <v>458</v>
      </c>
      <c r="Y149" s="73" t="s">
        <v>458</v>
      </c>
      <c r="Z149" s="73" t="s">
        <v>458</v>
      </c>
      <c r="AA149" s="123" t="s">
        <v>458</v>
      </c>
      <c r="AB149" s="123" t="s">
        <v>458</v>
      </c>
      <c r="AC149" s="123" t="s">
        <v>458</v>
      </c>
      <c r="AD149" s="123" t="s">
        <v>458</v>
      </c>
      <c r="AE149" s="123" t="s">
        <v>458</v>
      </c>
      <c r="AF149" s="123" t="s">
        <v>458</v>
      </c>
      <c r="AG149" s="300" t="s">
        <v>458</v>
      </c>
      <c r="AH149" s="123" t="s">
        <v>458</v>
      </c>
      <c r="AI149" s="123" t="s">
        <v>458</v>
      </c>
      <c r="AJ149" s="139" t="s">
        <v>288</v>
      </c>
      <c r="AK149" s="197" t="s">
        <v>458</v>
      </c>
      <c r="AL149" s="53">
        <v>20</v>
      </c>
      <c r="AM149" s="53">
        <v>20</v>
      </c>
      <c r="AN149" s="53">
        <v>0.15</v>
      </c>
      <c r="AO149" s="139" t="s">
        <v>167</v>
      </c>
      <c r="AP149" s="136" t="s">
        <v>458</v>
      </c>
      <c r="AQ149" s="139" t="s">
        <v>458</v>
      </c>
      <c r="AR149" s="139" t="s">
        <v>458</v>
      </c>
      <c r="AS149" s="139" t="s">
        <v>458</v>
      </c>
      <c r="AT149" s="136" t="s">
        <v>458</v>
      </c>
      <c r="AU149" s="139" t="s">
        <v>458</v>
      </c>
    </row>
    <row r="150" spans="1:47" ht="16" x14ac:dyDescent="0.2">
      <c r="A150" s="25">
        <v>14</v>
      </c>
      <c r="B150" s="31">
        <v>3</v>
      </c>
      <c r="C150" s="31" t="s">
        <v>64</v>
      </c>
      <c r="D150" s="41" t="s">
        <v>287</v>
      </c>
      <c r="E150" s="45" t="s">
        <v>133</v>
      </c>
      <c r="F150" s="45" t="s">
        <v>134</v>
      </c>
      <c r="G150" s="45">
        <v>97</v>
      </c>
      <c r="H150" s="362">
        <v>3</v>
      </c>
      <c r="I150" s="45">
        <f t="shared" si="2"/>
        <v>100</v>
      </c>
      <c r="J150" s="53" t="s">
        <v>111</v>
      </c>
      <c r="K150" s="136" t="s">
        <v>286</v>
      </c>
      <c r="L150" s="364" t="s">
        <v>379</v>
      </c>
      <c r="M150" s="139">
        <v>30</v>
      </c>
      <c r="N150" s="118" t="s">
        <v>383</v>
      </c>
      <c r="O150" s="239" t="s">
        <v>424</v>
      </c>
      <c r="P150" s="139">
        <v>30</v>
      </c>
      <c r="Q150" s="136" t="s">
        <v>458</v>
      </c>
      <c r="R150" s="136" t="s">
        <v>458</v>
      </c>
      <c r="S150" s="53">
        <v>0</v>
      </c>
      <c r="T150" s="139">
        <v>40</v>
      </c>
      <c r="U150" s="53" t="s">
        <v>458</v>
      </c>
      <c r="V150" s="53" t="s">
        <v>458</v>
      </c>
      <c r="W150" s="123" t="s">
        <v>458</v>
      </c>
      <c r="X150" s="123" t="s">
        <v>458</v>
      </c>
      <c r="Y150" s="73" t="s">
        <v>458</v>
      </c>
      <c r="Z150" s="73" t="s">
        <v>458</v>
      </c>
      <c r="AA150" s="123" t="s">
        <v>458</v>
      </c>
      <c r="AB150" s="123" t="s">
        <v>458</v>
      </c>
      <c r="AC150" s="123" t="s">
        <v>458</v>
      </c>
      <c r="AD150" s="123" t="s">
        <v>458</v>
      </c>
      <c r="AE150" s="123" t="s">
        <v>458</v>
      </c>
      <c r="AF150" s="123" t="s">
        <v>458</v>
      </c>
      <c r="AG150" s="300" t="s">
        <v>458</v>
      </c>
      <c r="AH150" s="123" t="s">
        <v>458</v>
      </c>
      <c r="AI150" s="123" t="s">
        <v>458</v>
      </c>
      <c r="AJ150" s="139" t="s">
        <v>288</v>
      </c>
      <c r="AK150" s="197" t="s">
        <v>458</v>
      </c>
      <c r="AL150" s="53">
        <v>20</v>
      </c>
      <c r="AM150" s="53">
        <v>20</v>
      </c>
      <c r="AN150" s="53">
        <v>0.15</v>
      </c>
      <c r="AO150" s="139" t="s">
        <v>167</v>
      </c>
      <c r="AP150" s="136" t="s">
        <v>458</v>
      </c>
      <c r="AQ150" s="139" t="s">
        <v>458</v>
      </c>
      <c r="AR150" s="139" t="s">
        <v>458</v>
      </c>
      <c r="AS150" s="139" t="s">
        <v>458</v>
      </c>
      <c r="AT150" s="136" t="s">
        <v>458</v>
      </c>
      <c r="AU150" s="139" t="s">
        <v>458</v>
      </c>
    </row>
    <row r="151" spans="1:47" s="18" customFormat="1" ht="16" x14ac:dyDescent="0.2">
      <c r="A151" s="26">
        <v>14</v>
      </c>
      <c r="B151" s="32">
        <v>4</v>
      </c>
      <c r="C151" s="32" t="s">
        <v>65</v>
      </c>
      <c r="D151" s="43" t="s">
        <v>287</v>
      </c>
      <c r="E151" s="46" t="s">
        <v>133</v>
      </c>
      <c r="F151" s="46" t="s">
        <v>134</v>
      </c>
      <c r="G151" s="46">
        <v>97</v>
      </c>
      <c r="H151" s="363">
        <v>3</v>
      </c>
      <c r="I151" s="46">
        <f t="shared" si="2"/>
        <v>100</v>
      </c>
      <c r="J151" s="54" t="s">
        <v>111</v>
      </c>
      <c r="K151" s="137" t="s">
        <v>286</v>
      </c>
      <c r="L151" s="365" t="s">
        <v>379</v>
      </c>
      <c r="M151" s="141">
        <v>30</v>
      </c>
      <c r="N151" s="100" t="s">
        <v>382</v>
      </c>
      <c r="O151" s="246" t="s">
        <v>424</v>
      </c>
      <c r="P151" s="141">
        <v>30</v>
      </c>
      <c r="Q151" s="137" t="s">
        <v>458</v>
      </c>
      <c r="R151" s="137" t="s">
        <v>458</v>
      </c>
      <c r="S151" s="54">
        <v>0</v>
      </c>
      <c r="T151" s="141">
        <v>40</v>
      </c>
      <c r="U151" s="54" t="s">
        <v>458</v>
      </c>
      <c r="V151" s="54" t="s">
        <v>458</v>
      </c>
      <c r="W151" s="148" t="s">
        <v>458</v>
      </c>
      <c r="X151" s="148" t="s">
        <v>458</v>
      </c>
      <c r="Y151" s="74" t="s">
        <v>458</v>
      </c>
      <c r="Z151" s="74" t="s">
        <v>458</v>
      </c>
      <c r="AA151" s="127" t="s">
        <v>458</v>
      </c>
      <c r="AB151" s="127" t="s">
        <v>458</v>
      </c>
      <c r="AC151" s="127" t="s">
        <v>458</v>
      </c>
      <c r="AD151" s="127" t="s">
        <v>458</v>
      </c>
      <c r="AE151" s="127" t="s">
        <v>458</v>
      </c>
      <c r="AF151" s="127" t="s">
        <v>458</v>
      </c>
      <c r="AG151" s="301" t="s">
        <v>458</v>
      </c>
      <c r="AH151" s="127" t="s">
        <v>458</v>
      </c>
      <c r="AI151" s="127" t="s">
        <v>458</v>
      </c>
      <c r="AJ151" s="141" t="s">
        <v>288</v>
      </c>
      <c r="AK151" s="198" t="s">
        <v>458</v>
      </c>
      <c r="AL151" s="54">
        <v>20</v>
      </c>
      <c r="AM151" s="54">
        <v>20</v>
      </c>
      <c r="AN151" s="54">
        <v>0.15</v>
      </c>
      <c r="AO151" s="141" t="s">
        <v>167</v>
      </c>
      <c r="AP151" s="137" t="s">
        <v>458</v>
      </c>
      <c r="AQ151" s="141" t="s">
        <v>458</v>
      </c>
      <c r="AR151" s="141" t="s">
        <v>458</v>
      </c>
      <c r="AS151" s="141" t="s">
        <v>458</v>
      </c>
      <c r="AT151" s="137" t="s">
        <v>458</v>
      </c>
      <c r="AU151" s="141" t="s">
        <v>458</v>
      </c>
    </row>
    <row r="152" spans="1:47" ht="16" x14ac:dyDescent="0.2">
      <c r="A152" s="25">
        <v>15</v>
      </c>
      <c r="B152" s="31">
        <v>4</v>
      </c>
      <c r="C152" s="31" t="s">
        <v>29</v>
      </c>
      <c r="D152" s="41" t="s">
        <v>33</v>
      </c>
      <c r="E152" s="45" t="s">
        <v>133</v>
      </c>
      <c r="F152" s="45" t="s">
        <v>134</v>
      </c>
      <c r="G152" s="45">
        <v>97</v>
      </c>
      <c r="H152" s="45">
        <v>3</v>
      </c>
      <c r="I152" s="45">
        <f t="shared" si="2"/>
        <v>100</v>
      </c>
      <c r="J152" s="144" t="s">
        <v>285</v>
      </c>
      <c r="K152" s="255" t="s">
        <v>458</v>
      </c>
      <c r="L152" s="259" t="s">
        <v>458</v>
      </c>
      <c r="M152" s="53">
        <v>0</v>
      </c>
      <c r="N152" s="139" t="s">
        <v>458</v>
      </c>
      <c r="O152" s="139" t="s">
        <v>458</v>
      </c>
      <c r="P152" s="53">
        <v>0</v>
      </c>
      <c r="Q152" s="147" t="s">
        <v>458</v>
      </c>
      <c r="R152" s="147" t="s">
        <v>458</v>
      </c>
      <c r="S152" s="53">
        <v>0</v>
      </c>
      <c r="T152" s="53">
        <v>100</v>
      </c>
      <c r="U152" s="53" t="s">
        <v>458</v>
      </c>
      <c r="V152" s="53" t="s">
        <v>458</v>
      </c>
      <c r="W152" s="147" t="s">
        <v>458</v>
      </c>
      <c r="X152" s="147" t="s">
        <v>458</v>
      </c>
      <c r="Y152" s="52">
        <v>98.340869999999995</v>
      </c>
      <c r="Z152" s="59">
        <v>1</v>
      </c>
      <c r="AA152" s="123" t="s">
        <v>458</v>
      </c>
      <c r="AB152" s="123" t="s">
        <v>458</v>
      </c>
      <c r="AC152" s="123" t="s">
        <v>458</v>
      </c>
      <c r="AD152" s="123" t="s">
        <v>458</v>
      </c>
      <c r="AE152" s="123" t="s">
        <v>458</v>
      </c>
      <c r="AF152" s="123" t="s">
        <v>458</v>
      </c>
      <c r="AG152" s="286">
        <v>1.23</v>
      </c>
      <c r="AH152" s="190" t="s">
        <v>109</v>
      </c>
      <c r="AI152" s="123" t="s">
        <v>458</v>
      </c>
      <c r="AJ152" s="144" t="s">
        <v>216</v>
      </c>
      <c r="AK152" s="121" t="s">
        <v>458</v>
      </c>
      <c r="AL152" s="121" t="s">
        <v>458</v>
      </c>
      <c r="AM152" s="121" t="s">
        <v>458</v>
      </c>
      <c r="AN152" s="53">
        <v>400</v>
      </c>
      <c r="AO152" s="144" t="s">
        <v>296</v>
      </c>
      <c r="AP152" s="136" t="s">
        <v>458</v>
      </c>
      <c r="AQ152" s="139" t="s">
        <v>458</v>
      </c>
      <c r="AR152" s="139" t="s">
        <v>458</v>
      </c>
      <c r="AS152" s="139" t="s">
        <v>458</v>
      </c>
      <c r="AT152" s="136" t="s">
        <v>458</v>
      </c>
      <c r="AU152" s="139" t="s">
        <v>458</v>
      </c>
    </row>
    <row r="153" spans="1:47" ht="17" customHeight="1" x14ac:dyDescent="0.2">
      <c r="A153" s="25">
        <v>15</v>
      </c>
      <c r="B153" s="31">
        <v>4</v>
      </c>
      <c r="C153" s="31" t="s">
        <v>29</v>
      </c>
      <c r="D153" s="41" t="s">
        <v>33</v>
      </c>
      <c r="E153" s="45" t="s">
        <v>133</v>
      </c>
      <c r="F153" s="45" t="s">
        <v>134</v>
      </c>
      <c r="G153" s="45">
        <v>97</v>
      </c>
      <c r="H153" s="45">
        <v>3</v>
      </c>
      <c r="I153" s="45">
        <f t="shared" si="2"/>
        <v>100</v>
      </c>
      <c r="J153" s="144" t="s">
        <v>285</v>
      </c>
      <c r="K153" s="255" t="s">
        <v>458</v>
      </c>
      <c r="L153" s="259" t="s">
        <v>458</v>
      </c>
      <c r="M153" s="53">
        <v>0</v>
      </c>
      <c r="N153" s="139" t="s">
        <v>458</v>
      </c>
      <c r="O153" s="139" t="s">
        <v>458</v>
      </c>
      <c r="P153" s="53">
        <v>0</v>
      </c>
      <c r="Q153" s="147" t="s">
        <v>458</v>
      </c>
      <c r="R153" s="147" t="s">
        <v>458</v>
      </c>
      <c r="S153" s="53">
        <v>0</v>
      </c>
      <c r="T153" s="53">
        <v>100</v>
      </c>
      <c r="U153" s="53" t="s">
        <v>458</v>
      </c>
      <c r="V153" s="53" t="s">
        <v>458</v>
      </c>
      <c r="W153" s="147" t="s">
        <v>458</v>
      </c>
      <c r="X153" s="147" t="s">
        <v>458</v>
      </c>
      <c r="Y153" s="52">
        <v>92.156859999999995</v>
      </c>
      <c r="Z153" s="59">
        <v>6</v>
      </c>
      <c r="AA153" s="123" t="s">
        <v>458</v>
      </c>
      <c r="AB153" s="123" t="s">
        <v>458</v>
      </c>
      <c r="AC153" s="123" t="s">
        <v>458</v>
      </c>
      <c r="AD153" s="123" t="s">
        <v>458</v>
      </c>
      <c r="AE153" s="123" t="s">
        <v>458</v>
      </c>
      <c r="AF153" s="123" t="s">
        <v>458</v>
      </c>
      <c r="AG153" s="286">
        <v>1.23</v>
      </c>
      <c r="AH153" s="190" t="s">
        <v>109</v>
      </c>
      <c r="AI153" s="123" t="s">
        <v>458</v>
      </c>
      <c r="AJ153" s="144" t="s">
        <v>216</v>
      </c>
      <c r="AK153" s="121" t="s">
        <v>458</v>
      </c>
      <c r="AL153" s="121" t="s">
        <v>458</v>
      </c>
      <c r="AM153" s="121" t="s">
        <v>458</v>
      </c>
      <c r="AN153" s="53">
        <v>400</v>
      </c>
      <c r="AO153" s="144" t="s">
        <v>296</v>
      </c>
      <c r="AP153" s="136" t="s">
        <v>458</v>
      </c>
      <c r="AQ153" s="139" t="s">
        <v>458</v>
      </c>
      <c r="AR153" s="139" t="s">
        <v>458</v>
      </c>
      <c r="AS153" s="139" t="s">
        <v>458</v>
      </c>
      <c r="AT153" s="136" t="s">
        <v>458</v>
      </c>
      <c r="AU153" s="139" t="s">
        <v>458</v>
      </c>
    </row>
    <row r="154" spans="1:47" ht="16" x14ac:dyDescent="0.2">
      <c r="A154" s="25">
        <v>15</v>
      </c>
      <c r="B154" s="31">
        <v>4</v>
      </c>
      <c r="C154" s="31" t="s">
        <v>29</v>
      </c>
      <c r="D154" s="41" t="s">
        <v>33</v>
      </c>
      <c r="E154" s="45" t="s">
        <v>133</v>
      </c>
      <c r="F154" s="45" t="s">
        <v>134</v>
      </c>
      <c r="G154" s="45">
        <v>97</v>
      </c>
      <c r="H154" s="45">
        <v>3</v>
      </c>
      <c r="I154" s="45">
        <f t="shared" si="2"/>
        <v>100</v>
      </c>
      <c r="J154" s="144" t="s">
        <v>285</v>
      </c>
      <c r="K154" s="255" t="s">
        <v>458</v>
      </c>
      <c r="L154" s="259" t="s">
        <v>458</v>
      </c>
      <c r="M154" s="53">
        <v>0</v>
      </c>
      <c r="N154" s="139" t="s">
        <v>458</v>
      </c>
      <c r="O154" s="139" t="s">
        <v>458</v>
      </c>
      <c r="P154" s="53">
        <v>0</v>
      </c>
      <c r="Q154" s="147" t="s">
        <v>458</v>
      </c>
      <c r="R154" s="147" t="s">
        <v>458</v>
      </c>
      <c r="S154" s="53">
        <v>0</v>
      </c>
      <c r="T154" s="53">
        <v>100</v>
      </c>
      <c r="U154" s="53" t="s">
        <v>458</v>
      </c>
      <c r="V154" s="53" t="s">
        <v>458</v>
      </c>
      <c r="W154" s="147" t="s">
        <v>458</v>
      </c>
      <c r="X154" s="147" t="s">
        <v>458</v>
      </c>
      <c r="Y154" s="52">
        <v>87.028660000000002</v>
      </c>
      <c r="Z154" s="59">
        <v>10</v>
      </c>
      <c r="AA154" s="123" t="s">
        <v>458</v>
      </c>
      <c r="AB154" s="123" t="s">
        <v>458</v>
      </c>
      <c r="AC154" s="123" t="s">
        <v>458</v>
      </c>
      <c r="AD154" s="123" t="s">
        <v>458</v>
      </c>
      <c r="AE154" s="123" t="s">
        <v>458</v>
      </c>
      <c r="AF154" s="123" t="s">
        <v>458</v>
      </c>
      <c r="AG154" s="286">
        <v>1.23</v>
      </c>
      <c r="AH154" s="190" t="s">
        <v>109</v>
      </c>
      <c r="AI154" s="123" t="s">
        <v>458</v>
      </c>
      <c r="AJ154" s="144" t="s">
        <v>216</v>
      </c>
      <c r="AK154" s="121" t="s">
        <v>458</v>
      </c>
      <c r="AL154" s="121" t="s">
        <v>458</v>
      </c>
      <c r="AM154" s="121" t="s">
        <v>458</v>
      </c>
      <c r="AN154" s="53">
        <v>400</v>
      </c>
      <c r="AO154" s="144" t="s">
        <v>296</v>
      </c>
      <c r="AP154" s="136" t="s">
        <v>458</v>
      </c>
      <c r="AQ154" s="139" t="s">
        <v>458</v>
      </c>
      <c r="AR154" s="139" t="s">
        <v>458</v>
      </c>
      <c r="AS154" s="139" t="s">
        <v>458</v>
      </c>
      <c r="AT154" s="136" t="s">
        <v>458</v>
      </c>
      <c r="AU154" s="139" t="s">
        <v>458</v>
      </c>
    </row>
    <row r="155" spans="1:47" ht="16" x14ac:dyDescent="0.2">
      <c r="A155" s="25">
        <v>15</v>
      </c>
      <c r="B155" s="31">
        <v>4</v>
      </c>
      <c r="C155" s="31" t="s">
        <v>29</v>
      </c>
      <c r="D155" s="41" t="s">
        <v>33</v>
      </c>
      <c r="E155" s="45" t="s">
        <v>133</v>
      </c>
      <c r="F155" s="45" t="s">
        <v>134</v>
      </c>
      <c r="G155" s="45">
        <v>97</v>
      </c>
      <c r="H155" s="45">
        <v>3</v>
      </c>
      <c r="I155" s="45">
        <f t="shared" si="2"/>
        <v>100</v>
      </c>
      <c r="J155" s="144" t="s">
        <v>285</v>
      </c>
      <c r="K155" s="255" t="s">
        <v>458</v>
      </c>
      <c r="L155" s="259" t="s">
        <v>458</v>
      </c>
      <c r="M155" s="53">
        <v>0</v>
      </c>
      <c r="N155" s="139" t="s">
        <v>458</v>
      </c>
      <c r="O155" s="139" t="s">
        <v>458</v>
      </c>
      <c r="P155" s="53">
        <v>0</v>
      </c>
      <c r="Q155" s="147" t="s">
        <v>458</v>
      </c>
      <c r="R155" s="147" t="s">
        <v>458</v>
      </c>
      <c r="S155" s="53">
        <v>0</v>
      </c>
      <c r="T155" s="53">
        <v>100</v>
      </c>
      <c r="U155" s="53" t="s">
        <v>458</v>
      </c>
      <c r="V155" s="53" t="s">
        <v>458</v>
      </c>
      <c r="W155" s="147" t="s">
        <v>458</v>
      </c>
      <c r="X155" s="147" t="s">
        <v>458</v>
      </c>
      <c r="Y155" s="52">
        <v>80.693820000000002</v>
      </c>
      <c r="Z155" s="59">
        <v>15</v>
      </c>
      <c r="AA155" s="123" t="s">
        <v>458</v>
      </c>
      <c r="AB155" s="123" t="s">
        <v>458</v>
      </c>
      <c r="AC155" s="123" t="s">
        <v>458</v>
      </c>
      <c r="AD155" s="123" t="s">
        <v>458</v>
      </c>
      <c r="AE155" s="123" t="s">
        <v>458</v>
      </c>
      <c r="AF155" s="123" t="s">
        <v>458</v>
      </c>
      <c r="AG155" s="286">
        <v>1.23</v>
      </c>
      <c r="AH155" s="190" t="s">
        <v>109</v>
      </c>
      <c r="AI155" s="123" t="s">
        <v>458</v>
      </c>
      <c r="AJ155" s="144" t="s">
        <v>216</v>
      </c>
      <c r="AK155" s="121" t="s">
        <v>458</v>
      </c>
      <c r="AL155" s="121" t="s">
        <v>458</v>
      </c>
      <c r="AM155" s="121" t="s">
        <v>458</v>
      </c>
      <c r="AN155" s="53">
        <v>400</v>
      </c>
      <c r="AO155" s="144" t="s">
        <v>296</v>
      </c>
      <c r="AP155" s="136" t="s">
        <v>458</v>
      </c>
      <c r="AQ155" s="139" t="s">
        <v>458</v>
      </c>
      <c r="AR155" s="139" t="s">
        <v>458</v>
      </c>
      <c r="AS155" s="139" t="s">
        <v>458</v>
      </c>
      <c r="AT155" s="136" t="s">
        <v>458</v>
      </c>
      <c r="AU155" s="139" t="s">
        <v>458</v>
      </c>
    </row>
    <row r="156" spans="1:47" ht="16" x14ac:dyDescent="0.2">
      <c r="A156" s="25">
        <v>15</v>
      </c>
      <c r="B156" s="31">
        <v>4</v>
      </c>
      <c r="C156" s="31" t="s">
        <v>29</v>
      </c>
      <c r="D156" s="41" t="s">
        <v>33</v>
      </c>
      <c r="E156" s="45" t="s">
        <v>133</v>
      </c>
      <c r="F156" s="45" t="s">
        <v>134</v>
      </c>
      <c r="G156" s="45">
        <v>97</v>
      </c>
      <c r="H156" s="45">
        <v>3</v>
      </c>
      <c r="I156" s="45">
        <f t="shared" si="2"/>
        <v>100</v>
      </c>
      <c r="J156" s="144" t="s">
        <v>285</v>
      </c>
      <c r="K156" s="255" t="s">
        <v>458</v>
      </c>
      <c r="L156" s="259" t="s">
        <v>458</v>
      </c>
      <c r="M156" s="53">
        <v>0</v>
      </c>
      <c r="N156" s="139" t="s">
        <v>458</v>
      </c>
      <c r="O156" s="139" t="s">
        <v>458</v>
      </c>
      <c r="P156" s="53">
        <v>0</v>
      </c>
      <c r="Q156" s="147" t="s">
        <v>458</v>
      </c>
      <c r="R156" s="147" t="s">
        <v>458</v>
      </c>
      <c r="S156" s="53">
        <v>0</v>
      </c>
      <c r="T156" s="53">
        <v>100</v>
      </c>
      <c r="U156" s="53" t="s">
        <v>458</v>
      </c>
      <c r="V156" s="53" t="s">
        <v>458</v>
      </c>
      <c r="W156" s="147" t="s">
        <v>458</v>
      </c>
      <c r="X156" s="147" t="s">
        <v>458</v>
      </c>
      <c r="Y156" s="52">
        <v>69.834090000000003</v>
      </c>
      <c r="Z156" s="59">
        <v>20</v>
      </c>
      <c r="AA156" s="123" t="s">
        <v>458</v>
      </c>
      <c r="AB156" s="123" t="s">
        <v>458</v>
      </c>
      <c r="AC156" s="123" t="s">
        <v>458</v>
      </c>
      <c r="AD156" s="123" t="s">
        <v>458</v>
      </c>
      <c r="AE156" s="123" t="s">
        <v>458</v>
      </c>
      <c r="AF156" s="123" t="s">
        <v>458</v>
      </c>
      <c r="AG156" s="286">
        <v>1.23</v>
      </c>
      <c r="AH156" s="190" t="s">
        <v>109</v>
      </c>
      <c r="AI156" s="123" t="s">
        <v>458</v>
      </c>
      <c r="AJ156" s="144" t="s">
        <v>216</v>
      </c>
      <c r="AK156" s="121" t="s">
        <v>458</v>
      </c>
      <c r="AL156" s="121" t="s">
        <v>458</v>
      </c>
      <c r="AM156" s="121" t="s">
        <v>458</v>
      </c>
      <c r="AN156" s="53">
        <v>400</v>
      </c>
      <c r="AO156" s="144" t="s">
        <v>296</v>
      </c>
      <c r="AP156" s="136" t="s">
        <v>458</v>
      </c>
      <c r="AQ156" s="139" t="s">
        <v>458</v>
      </c>
      <c r="AR156" s="139" t="s">
        <v>458</v>
      </c>
      <c r="AS156" s="139" t="s">
        <v>458</v>
      </c>
      <c r="AT156" s="136" t="s">
        <v>458</v>
      </c>
      <c r="AU156" s="139" t="s">
        <v>458</v>
      </c>
    </row>
    <row r="157" spans="1:47" ht="16" x14ac:dyDescent="0.2">
      <c r="A157" s="25">
        <v>15</v>
      </c>
      <c r="B157" s="31">
        <v>4</v>
      </c>
      <c r="C157" s="31" t="s">
        <v>29</v>
      </c>
      <c r="D157" s="41" t="s">
        <v>33</v>
      </c>
      <c r="E157" s="45" t="s">
        <v>133</v>
      </c>
      <c r="F157" s="45" t="s">
        <v>134</v>
      </c>
      <c r="G157" s="45">
        <v>97</v>
      </c>
      <c r="H157" s="45">
        <v>3</v>
      </c>
      <c r="I157" s="45">
        <f t="shared" si="2"/>
        <v>100</v>
      </c>
      <c r="J157" s="144" t="s">
        <v>285</v>
      </c>
      <c r="K157" s="255" t="s">
        <v>458</v>
      </c>
      <c r="L157" s="259" t="s">
        <v>458</v>
      </c>
      <c r="M157" s="53">
        <v>0</v>
      </c>
      <c r="N157" s="139" t="s">
        <v>458</v>
      </c>
      <c r="O157" s="139" t="s">
        <v>458</v>
      </c>
      <c r="P157" s="53">
        <v>0</v>
      </c>
      <c r="Q157" s="147" t="s">
        <v>458</v>
      </c>
      <c r="R157" s="147" t="s">
        <v>458</v>
      </c>
      <c r="S157" s="53">
        <v>0</v>
      </c>
      <c r="T157" s="53">
        <v>100</v>
      </c>
      <c r="U157" s="53" t="s">
        <v>458</v>
      </c>
      <c r="V157" s="53" t="s">
        <v>458</v>
      </c>
      <c r="W157" s="147" t="s">
        <v>458</v>
      </c>
      <c r="X157" s="147" t="s">
        <v>458</v>
      </c>
      <c r="Y157" s="52">
        <v>37.254899999999999</v>
      </c>
      <c r="Z157" s="59">
        <v>24</v>
      </c>
      <c r="AA157" s="123" t="s">
        <v>458</v>
      </c>
      <c r="AB157" s="123" t="s">
        <v>458</v>
      </c>
      <c r="AC157" s="123" t="s">
        <v>458</v>
      </c>
      <c r="AD157" s="123" t="s">
        <v>458</v>
      </c>
      <c r="AE157" s="123" t="s">
        <v>458</v>
      </c>
      <c r="AF157" s="123" t="s">
        <v>458</v>
      </c>
      <c r="AG157" s="286">
        <v>1.23</v>
      </c>
      <c r="AH157" s="190" t="s">
        <v>109</v>
      </c>
      <c r="AI157" s="123" t="s">
        <v>458</v>
      </c>
      <c r="AJ157" s="144" t="s">
        <v>216</v>
      </c>
      <c r="AK157" s="121" t="s">
        <v>458</v>
      </c>
      <c r="AL157" s="121" t="s">
        <v>458</v>
      </c>
      <c r="AM157" s="121" t="s">
        <v>458</v>
      </c>
      <c r="AN157" s="53">
        <v>400</v>
      </c>
      <c r="AO157" s="144" t="s">
        <v>296</v>
      </c>
      <c r="AP157" s="136" t="s">
        <v>458</v>
      </c>
      <c r="AQ157" s="139" t="s">
        <v>458</v>
      </c>
      <c r="AR157" s="139" t="s">
        <v>458</v>
      </c>
      <c r="AS157" s="139" t="s">
        <v>458</v>
      </c>
      <c r="AT157" s="136" t="s">
        <v>458</v>
      </c>
      <c r="AU157" s="139" t="s">
        <v>458</v>
      </c>
    </row>
    <row r="158" spans="1:47" ht="16" x14ac:dyDescent="0.2">
      <c r="A158" s="25">
        <v>15</v>
      </c>
      <c r="B158" s="31">
        <v>4</v>
      </c>
      <c r="C158" s="31" t="s">
        <v>29</v>
      </c>
      <c r="D158" s="41" t="s">
        <v>33</v>
      </c>
      <c r="E158" s="45" t="s">
        <v>133</v>
      </c>
      <c r="F158" s="45" t="s">
        <v>134</v>
      </c>
      <c r="G158" s="45">
        <v>97</v>
      </c>
      <c r="H158" s="45">
        <v>3</v>
      </c>
      <c r="I158" s="45">
        <f t="shared" si="2"/>
        <v>100</v>
      </c>
      <c r="J158" s="144" t="s">
        <v>285</v>
      </c>
      <c r="K158" s="255" t="s">
        <v>458</v>
      </c>
      <c r="L158" s="259" t="s">
        <v>458</v>
      </c>
      <c r="M158" s="53">
        <v>0</v>
      </c>
      <c r="N158" s="139" t="s">
        <v>458</v>
      </c>
      <c r="O158" s="139" t="s">
        <v>458</v>
      </c>
      <c r="P158" s="53">
        <v>0</v>
      </c>
      <c r="Q158" s="147" t="s">
        <v>458</v>
      </c>
      <c r="R158" s="147" t="s">
        <v>458</v>
      </c>
      <c r="S158" s="53">
        <v>0</v>
      </c>
      <c r="T158" s="53">
        <v>100</v>
      </c>
      <c r="U158" s="53" t="s">
        <v>458</v>
      </c>
      <c r="V158" s="53" t="s">
        <v>458</v>
      </c>
      <c r="W158" s="147" t="s">
        <v>458</v>
      </c>
      <c r="X158" s="147" t="s">
        <v>458</v>
      </c>
      <c r="Y158" s="52">
        <v>29.864249999999998</v>
      </c>
      <c r="Z158" s="59">
        <v>27</v>
      </c>
      <c r="AA158" s="123" t="s">
        <v>458</v>
      </c>
      <c r="AB158" s="123" t="s">
        <v>458</v>
      </c>
      <c r="AC158" s="123" t="s">
        <v>458</v>
      </c>
      <c r="AD158" s="123" t="s">
        <v>458</v>
      </c>
      <c r="AE158" s="123" t="s">
        <v>458</v>
      </c>
      <c r="AF158" s="123" t="s">
        <v>458</v>
      </c>
      <c r="AG158" s="286">
        <v>1.23</v>
      </c>
      <c r="AH158" s="190" t="s">
        <v>109</v>
      </c>
      <c r="AI158" s="123" t="s">
        <v>458</v>
      </c>
      <c r="AJ158" s="144" t="s">
        <v>216</v>
      </c>
      <c r="AK158" s="121" t="s">
        <v>458</v>
      </c>
      <c r="AL158" s="121" t="s">
        <v>458</v>
      </c>
      <c r="AM158" s="121" t="s">
        <v>458</v>
      </c>
      <c r="AN158" s="53">
        <v>400</v>
      </c>
      <c r="AO158" s="144" t="s">
        <v>296</v>
      </c>
      <c r="AP158" s="136" t="s">
        <v>458</v>
      </c>
      <c r="AQ158" s="139" t="s">
        <v>458</v>
      </c>
      <c r="AR158" s="139" t="s">
        <v>458</v>
      </c>
      <c r="AS158" s="139" t="s">
        <v>458</v>
      </c>
      <c r="AT158" s="136" t="s">
        <v>458</v>
      </c>
      <c r="AU158" s="139" t="s">
        <v>458</v>
      </c>
    </row>
    <row r="159" spans="1:47" ht="16" x14ac:dyDescent="0.2">
      <c r="A159" s="25">
        <v>15</v>
      </c>
      <c r="B159" s="31">
        <v>5</v>
      </c>
      <c r="C159" s="31" t="s">
        <v>66</v>
      </c>
      <c r="D159" s="41" t="s">
        <v>295</v>
      </c>
      <c r="E159" s="45" t="s">
        <v>133</v>
      </c>
      <c r="F159" s="45" t="s">
        <v>134</v>
      </c>
      <c r="G159" s="45">
        <v>97</v>
      </c>
      <c r="H159" s="45">
        <v>3</v>
      </c>
      <c r="I159" s="45">
        <f t="shared" si="2"/>
        <v>100</v>
      </c>
      <c r="J159" s="53" t="s">
        <v>111</v>
      </c>
      <c r="K159" s="147" t="s">
        <v>384</v>
      </c>
      <c r="L159" s="230" t="s">
        <v>379</v>
      </c>
      <c r="M159" s="53">
        <v>15</v>
      </c>
      <c r="N159" s="139" t="s">
        <v>458</v>
      </c>
      <c r="O159" s="139" t="s">
        <v>458</v>
      </c>
      <c r="P159" s="53">
        <v>0</v>
      </c>
      <c r="Q159" s="147" t="s">
        <v>458</v>
      </c>
      <c r="R159" s="147" t="s">
        <v>458</v>
      </c>
      <c r="S159" s="53">
        <v>0</v>
      </c>
      <c r="T159" s="53">
        <v>85</v>
      </c>
      <c r="U159" s="53" t="s">
        <v>458</v>
      </c>
      <c r="V159" s="53" t="s">
        <v>458</v>
      </c>
      <c r="W159" s="147" t="s">
        <v>458</v>
      </c>
      <c r="X159" s="147" t="s">
        <v>458</v>
      </c>
      <c r="Y159" s="59">
        <v>99.245850000000004</v>
      </c>
      <c r="Z159" s="59">
        <v>1</v>
      </c>
      <c r="AA159" s="123" t="s">
        <v>458</v>
      </c>
      <c r="AB159" s="123" t="s">
        <v>458</v>
      </c>
      <c r="AC159" s="123" t="s">
        <v>458</v>
      </c>
      <c r="AD159" s="123" t="s">
        <v>458</v>
      </c>
      <c r="AE159" s="123" t="s">
        <v>458</v>
      </c>
      <c r="AF159" s="123" t="s">
        <v>458</v>
      </c>
      <c r="AG159" s="300" t="s">
        <v>458</v>
      </c>
      <c r="AH159" s="123" t="s">
        <v>458</v>
      </c>
      <c r="AI159" s="123" t="s">
        <v>458</v>
      </c>
      <c r="AJ159" s="144" t="s">
        <v>216</v>
      </c>
      <c r="AK159" s="121" t="s">
        <v>458</v>
      </c>
      <c r="AL159" s="121" t="s">
        <v>458</v>
      </c>
      <c r="AM159" s="121" t="s">
        <v>458</v>
      </c>
      <c r="AN159" s="53">
        <v>400</v>
      </c>
      <c r="AO159" s="144" t="s">
        <v>296</v>
      </c>
      <c r="AP159" s="136" t="s">
        <v>458</v>
      </c>
      <c r="AQ159" s="139" t="s">
        <v>458</v>
      </c>
      <c r="AR159" s="139" t="s">
        <v>458</v>
      </c>
      <c r="AS159" s="139" t="s">
        <v>458</v>
      </c>
      <c r="AT159" s="136" t="s">
        <v>458</v>
      </c>
      <c r="AU159" s="139" t="s">
        <v>458</v>
      </c>
    </row>
    <row r="160" spans="1:47" ht="16" x14ac:dyDescent="0.2">
      <c r="A160" s="25">
        <v>15</v>
      </c>
      <c r="B160" s="31">
        <v>5</v>
      </c>
      <c r="C160" s="31" t="s">
        <v>66</v>
      </c>
      <c r="D160" s="41" t="s">
        <v>295</v>
      </c>
      <c r="E160" s="45" t="s">
        <v>133</v>
      </c>
      <c r="F160" s="45" t="s">
        <v>134</v>
      </c>
      <c r="G160" s="45">
        <v>97</v>
      </c>
      <c r="H160" s="45">
        <v>3</v>
      </c>
      <c r="I160" s="45">
        <f t="shared" si="2"/>
        <v>100</v>
      </c>
      <c r="J160" s="53" t="s">
        <v>111</v>
      </c>
      <c r="K160" s="147" t="s">
        <v>384</v>
      </c>
      <c r="L160" s="230" t="s">
        <v>379</v>
      </c>
      <c r="M160" s="53">
        <v>15</v>
      </c>
      <c r="N160" s="139" t="s">
        <v>458</v>
      </c>
      <c r="O160" s="139" t="s">
        <v>458</v>
      </c>
      <c r="P160" s="53">
        <v>0</v>
      </c>
      <c r="Q160" s="147" t="s">
        <v>458</v>
      </c>
      <c r="R160" s="147" t="s">
        <v>458</v>
      </c>
      <c r="S160" s="53">
        <v>0</v>
      </c>
      <c r="T160" s="53">
        <v>85</v>
      </c>
      <c r="U160" s="53" t="s">
        <v>458</v>
      </c>
      <c r="V160" s="53" t="s">
        <v>458</v>
      </c>
      <c r="W160" s="147" t="s">
        <v>458</v>
      </c>
      <c r="X160" s="147" t="s">
        <v>458</v>
      </c>
      <c r="Y160" s="59">
        <v>93.363500000000002</v>
      </c>
      <c r="Z160" s="59">
        <v>6</v>
      </c>
      <c r="AA160" s="123" t="s">
        <v>458</v>
      </c>
      <c r="AB160" s="123" t="s">
        <v>458</v>
      </c>
      <c r="AC160" s="123" t="s">
        <v>458</v>
      </c>
      <c r="AD160" s="123" t="s">
        <v>458</v>
      </c>
      <c r="AE160" s="123" t="s">
        <v>458</v>
      </c>
      <c r="AF160" s="123" t="s">
        <v>458</v>
      </c>
      <c r="AG160" s="300" t="s">
        <v>458</v>
      </c>
      <c r="AH160" s="123" t="s">
        <v>458</v>
      </c>
      <c r="AI160" s="123" t="s">
        <v>458</v>
      </c>
      <c r="AJ160" s="144" t="s">
        <v>216</v>
      </c>
      <c r="AK160" s="121" t="s">
        <v>458</v>
      </c>
      <c r="AL160" s="121" t="s">
        <v>458</v>
      </c>
      <c r="AM160" s="121" t="s">
        <v>458</v>
      </c>
      <c r="AN160" s="53">
        <v>400</v>
      </c>
      <c r="AO160" s="144" t="s">
        <v>296</v>
      </c>
      <c r="AP160" s="136" t="s">
        <v>458</v>
      </c>
      <c r="AQ160" s="139" t="s">
        <v>458</v>
      </c>
      <c r="AR160" s="139" t="s">
        <v>458</v>
      </c>
      <c r="AS160" s="139" t="s">
        <v>458</v>
      </c>
      <c r="AT160" s="136" t="s">
        <v>458</v>
      </c>
      <c r="AU160" s="139" t="s">
        <v>458</v>
      </c>
    </row>
    <row r="161" spans="1:47" ht="16" x14ac:dyDescent="0.2">
      <c r="A161" s="25">
        <v>15</v>
      </c>
      <c r="B161" s="31">
        <v>5</v>
      </c>
      <c r="C161" s="31" t="s">
        <v>66</v>
      </c>
      <c r="D161" s="41" t="s">
        <v>295</v>
      </c>
      <c r="E161" s="45" t="s">
        <v>133</v>
      </c>
      <c r="F161" s="45" t="s">
        <v>134</v>
      </c>
      <c r="G161" s="45">
        <v>97</v>
      </c>
      <c r="H161" s="45">
        <v>3</v>
      </c>
      <c r="I161" s="45">
        <f t="shared" si="2"/>
        <v>100</v>
      </c>
      <c r="J161" s="53" t="s">
        <v>111</v>
      </c>
      <c r="K161" s="147" t="s">
        <v>384</v>
      </c>
      <c r="L161" s="230" t="s">
        <v>379</v>
      </c>
      <c r="M161" s="53">
        <v>15</v>
      </c>
      <c r="N161" s="139" t="s">
        <v>458</v>
      </c>
      <c r="O161" s="139" t="s">
        <v>458</v>
      </c>
      <c r="P161" s="53">
        <v>0</v>
      </c>
      <c r="Q161" s="147" t="s">
        <v>458</v>
      </c>
      <c r="R161" s="147" t="s">
        <v>458</v>
      </c>
      <c r="S161" s="53">
        <v>0</v>
      </c>
      <c r="T161" s="53">
        <v>85</v>
      </c>
      <c r="U161" s="53" t="s">
        <v>458</v>
      </c>
      <c r="V161" s="53" t="s">
        <v>458</v>
      </c>
      <c r="W161" s="147" t="s">
        <v>458</v>
      </c>
      <c r="X161" s="147" t="s">
        <v>458</v>
      </c>
      <c r="Y161" s="59">
        <v>89.2911</v>
      </c>
      <c r="Z161" s="59">
        <v>10</v>
      </c>
      <c r="AA161" s="123" t="s">
        <v>458</v>
      </c>
      <c r="AB161" s="123" t="s">
        <v>458</v>
      </c>
      <c r="AC161" s="123" t="s">
        <v>458</v>
      </c>
      <c r="AD161" s="123" t="s">
        <v>458</v>
      </c>
      <c r="AE161" s="123" t="s">
        <v>458</v>
      </c>
      <c r="AF161" s="123" t="s">
        <v>458</v>
      </c>
      <c r="AG161" s="300" t="s">
        <v>458</v>
      </c>
      <c r="AH161" s="123" t="s">
        <v>458</v>
      </c>
      <c r="AI161" s="123" t="s">
        <v>458</v>
      </c>
      <c r="AJ161" s="144" t="s">
        <v>216</v>
      </c>
      <c r="AK161" s="121" t="s">
        <v>458</v>
      </c>
      <c r="AL161" s="121" t="s">
        <v>458</v>
      </c>
      <c r="AM161" s="121" t="s">
        <v>458</v>
      </c>
      <c r="AN161" s="53">
        <v>400</v>
      </c>
      <c r="AO161" s="144" t="s">
        <v>296</v>
      </c>
      <c r="AP161" s="136" t="s">
        <v>458</v>
      </c>
      <c r="AQ161" s="139" t="s">
        <v>458</v>
      </c>
      <c r="AR161" s="139" t="s">
        <v>458</v>
      </c>
      <c r="AS161" s="139" t="s">
        <v>458</v>
      </c>
      <c r="AT161" s="136" t="s">
        <v>458</v>
      </c>
      <c r="AU161" s="139" t="s">
        <v>458</v>
      </c>
    </row>
    <row r="162" spans="1:47" ht="16" x14ac:dyDescent="0.2">
      <c r="A162" s="25">
        <v>15</v>
      </c>
      <c r="B162" s="31">
        <v>5</v>
      </c>
      <c r="C162" s="31" t="s">
        <v>66</v>
      </c>
      <c r="D162" s="41" t="s">
        <v>295</v>
      </c>
      <c r="E162" s="45" t="s">
        <v>133</v>
      </c>
      <c r="F162" s="45" t="s">
        <v>134</v>
      </c>
      <c r="G162" s="45">
        <v>97</v>
      </c>
      <c r="H162" s="45">
        <v>3</v>
      </c>
      <c r="I162" s="45">
        <f t="shared" si="2"/>
        <v>100</v>
      </c>
      <c r="J162" s="53" t="s">
        <v>111</v>
      </c>
      <c r="K162" s="147" t="s">
        <v>384</v>
      </c>
      <c r="L162" s="230" t="s">
        <v>379</v>
      </c>
      <c r="M162" s="53">
        <v>15</v>
      </c>
      <c r="N162" s="139" t="s">
        <v>458</v>
      </c>
      <c r="O162" s="139" t="s">
        <v>458</v>
      </c>
      <c r="P162" s="53">
        <v>0</v>
      </c>
      <c r="Q162" s="147" t="s">
        <v>458</v>
      </c>
      <c r="R162" s="147" t="s">
        <v>458</v>
      </c>
      <c r="S162" s="53">
        <v>0</v>
      </c>
      <c r="T162" s="53">
        <v>85</v>
      </c>
      <c r="U162" s="53" t="s">
        <v>458</v>
      </c>
      <c r="V162" s="53" t="s">
        <v>458</v>
      </c>
      <c r="W162" s="147" t="s">
        <v>458</v>
      </c>
      <c r="X162" s="147" t="s">
        <v>458</v>
      </c>
      <c r="Y162" s="59">
        <v>84.162899999999993</v>
      </c>
      <c r="Z162" s="59">
        <v>15</v>
      </c>
      <c r="AA162" s="123" t="s">
        <v>458</v>
      </c>
      <c r="AB162" s="123" t="s">
        <v>458</v>
      </c>
      <c r="AC162" s="123" t="s">
        <v>458</v>
      </c>
      <c r="AD162" s="123" t="s">
        <v>458</v>
      </c>
      <c r="AE162" s="123" t="s">
        <v>458</v>
      </c>
      <c r="AF162" s="123" t="s">
        <v>458</v>
      </c>
      <c r="AG162" s="300" t="s">
        <v>458</v>
      </c>
      <c r="AH162" s="123" t="s">
        <v>458</v>
      </c>
      <c r="AI162" s="123" t="s">
        <v>458</v>
      </c>
      <c r="AJ162" s="144" t="s">
        <v>216</v>
      </c>
      <c r="AK162" s="121" t="s">
        <v>458</v>
      </c>
      <c r="AL162" s="121" t="s">
        <v>458</v>
      </c>
      <c r="AM162" s="121" t="s">
        <v>458</v>
      </c>
      <c r="AN162" s="53">
        <v>400</v>
      </c>
      <c r="AO162" s="144" t="s">
        <v>296</v>
      </c>
      <c r="AP162" s="136" t="s">
        <v>458</v>
      </c>
      <c r="AQ162" s="139" t="s">
        <v>458</v>
      </c>
      <c r="AR162" s="139" t="s">
        <v>458</v>
      </c>
      <c r="AS162" s="139" t="s">
        <v>458</v>
      </c>
      <c r="AT162" s="136" t="s">
        <v>458</v>
      </c>
      <c r="AU162" s="139" t="s">
        <v>458</v>
      </c>
    </row>
    <row r="163" spans="1:47" ht="16" x14ac:dyDescent="0.2">
      <c r="A163" s="25">
        <v>15</v>
      </c>
      <c r="B163" s="31">
        <v>5</v>
      </c>
      <c r="C163" s="31" t="s">
        <v>66</v>
      </c>
      <c r="D163" s="41" t="s">
        <v>295</v>
      </c>
      <c r="E163" s="45" t="s">
        <v>133</v>
      </c>
      <c r="F163" s="45" t="s">
        <v>134</v>
      </c>
      <c r="G163" s="45">
        <v>97</v>
      </c>
      <c r="H163" s="45">
        <v>3</v>
      </c>
      <c r="I163" s="45">
        <f t="shared" si="2"/>
        <v>100</v>
      </c>
      <c r="J163" s="53" t="s">
        <v>111</v>
      </c>
      <c r="K163" s="147" t="s">
        <v>384</v>
      </c>
      <c r="L163" s="230" t="s">
        <v>379</v>
      </c>
      <c r="M163" s="53">
        <v>15</v>
      </c>
      <c r="N163" s="139" t="s">
        <v>458</v>
      </c>
      <c r="O163" s="139" t="s">
        <v>458</v>
      </c>
      <c r="P163" s="53">
        <v>0</v>
      </c>
      <c r="Q163" s="147" t="s">
        <v>458</v>
      </c>
      <c r="R163" s="147" t="s">
        <v>458</v>
      </c>
      <c r="S163" s="53">
        <v>0</v>
      </c>
      <c r="T163" s="53">
        <v>85</v>
      </c>
      <c r="U163" s="53" t="s">
        <v>458</v>
      </c>
      <c r="V163" s="53" t="s">
        <v>458</v>
      </c>
      <c r="W163" s="147" t="s">
        <v>458</v>
      </c>
      <c r="X163" s="147" t="s">
        <v>458</v>
      </c>
      <c r="Y163" s="59">
        <v>71.191550000000007</v>
      </c>
      <c r="Z163" s="59">
        <v>20</v>
      </c>
      <c r="AA163" s="123" t="s">
        <v>458</v>
      </c>
      <c r="AB163" s="123" t="s">
        <v>458</v>
      </c>
      <c r="AC163" s="123" t="s">
        <v>458</v>
      </c>
      <c r="AD163" s="123" t="s">
        <v>458</v>
      </c>
      <c r="AE163" s="123" t="s">
        <v>458</v>
      </c>
      <c r="AF163" s="123" t="s">
        <v>458</v>
      </c>
      <c r="AG163" s="300" t="s">
        <v>458</v>
      </c>
      <c r="AH163" s="123" t="s">
        <v>458</v>
      </c>
      <c r="AI163" s="123" t="s">
        <v>458</v>
      </c>
      <c r="AJ163" s="144" t="s">
        <v>216</v>
      </c>
      <c r="AK163" s="121" t="s">
        <v>458</v>
      </c>
      <c r="AL163" s="121" t="s">
        <v>458</v>
      </c>
      <c r="AM163" s="121" t="s">
        <v>458</v>
      </c>
      <c r="AN163" s="53">
        <v>400</v>
      </c>
      <c r="AO163" s="144" t="s">
        <v>296</v>
      </c>
      <c r="AP163" s="136" t="s">
        <v>458</v>
      </c>
      <c r="AQ163" s="139" t="s">
        <v>458</v>
      </c>
      <c r="AR163" s="139" t="s">
        <v>458</v>
      </c>
      <c r="AS163" s="139" t="s">
        <v>458</v>
      </c>
      <c r="AT163" s="136" t="s">
        <v>458</v>
      </c>
      <c r="AU163" s="139" t="s">
        <v>458</v>
      </c>
    </row>
    <row r="164" spans="1:47" ht="16" x14ac:dyDescent="0.2">
      <c r="A164" s="25">
        <v>15</v>
      </c>
      <c r="B164" s="31">
        <v>5</v>
      </c>
      <c r="C164" s="31" t="s">
        <v>66</v>
      </c>
      <c r="D164" s="41" t="s">
        <v>295</v>
      </c>
      <c r="E164" s="45" t="s">
        <v>133</v>
      </c>
      <c r="F164" s="45" t="s">
        <v>134</v>
      </c>
      <c r="G164" s="45">
        <v>97</v>
      </c>
      <c r="H164" s="45">
        <v>3</v>
      </c>
      <c r="I164" s="45">
        <f t="shared" si="2"/>
        <v>100</v>
      </c>
      <c r="J164" s="53" t="s">
        <v>111</v>
      </c>
      <c r="K164" s="147" t="s">
        <v>384</v>
      </c>
      <c r="L164" s="230" t="s">
        <v>379</v>
      </c>
      <c r="M164" s="53">
        <v>15</v>
      </c>
      <c r="N164" s="139" t="s">
        <v>458</v>
      </c>
      <c r="O164" s="139" t="s">
        <v>458</v>
      </c>
      <c r="P164" s="53">
        <v>0</v>
      </c>
      <c r="Q164" s="147" t="s">
        <v>458</v>
      </c>
      <c r="R164" s="147" t="s">
        <v>458</v>
      </c>
      <c r="S164" s="53">
        <v>0</v>
      </c>
      <c r="T164" s="53">
        <v>85</v>
      </c>
      <c r="U164" s="53" t="s">
        <v>458</v>
      </c>
      <c r="V164" s="53" t="s">
        <v>458</v>
      </c>
      <c r="W164" s="147" t="s">
        <v>458</v>
      </c>
      <c r="X164" s="147" t="s">
        <v>458</v>
      </c>
      <c r="Y164" s="59">
        <v>43.43891</v>
      </c>
      <c r="Z164" s="59">
        <v>24</v>
      </c>
      <c r="AA164" s="123" t="s">
        <v>458</v>
      </c>
      <c r="AB164" s="123" t="s">
        <v>458</v>
      </c>
      <c r="AC164" s="123" t="s">
        <v>458</v>
      </c>
      <c r="AD164" s="123" t="s">
        <v>458</v>
      </c>
      <c r="AE164" s="123" t="s">
        <v>458</v>
      </c>
      <c r="AF164" s="123" t="s">
        <v>458</v>
      </c>
      <c r="AG164" s="300" t="s">
        <v>458</v>
      </c>
      <c r="AH164" s="123" t="s">
        <v>458</v>
      </c>
      <c r="AI164" s="123" t="s">
        <v>458</v>
      </c>
      <c r="AJ164" s="144" t="s">
        <v>216</v>
      </c>
      <c r="AK164" s="121" t="s">
        <v>458</v>
      </c>
      <c r="AL164" s="121" t="s">
        <v>458</v>
      </c>
      <c r="AM164" s="121" t="s">
        <v>458</v>
      </c>
      <c r="AN164" s="53">
        <v>400</v>
      </c>
      <c r="AO164" s="144" t="s">
        <v>296</v>
      </c>
      <c r="AP164" s="136" t="s">
        <v>458</v>
      </c>
      <c r="AQ164" s="139" t="s">
        <v>458</v>
      </c>
      <c r="AR164" s="139" t="s">
        <v>458</v>
      </c>
      <c r="AS164" s="139" t="s">
        <v>458</v>
      </c>
      <c r="AT164" s="136" t="s">
        <v>458</v>
      </c>
      <c r="AU164" s="139" t="s">
        <v>458</v>
      </c>
    </row>
    <row r="165" spans="1:47" ht="16" x14ac:dyDescent="0.2">
      <c r="A165" s="25">
        <v>15</v>
      </c>
      <c r="B165" s="31">
        <v>5</v>
      </c>
      <c r="C165" s="31" t="s">
        <v>66</v>
      </c>
      <c r="D165" s="41" t="s">
        <v>295</v>
      </c>
      <c r="E165" s="45" t="s">
        <v>133</v>
      </c>
      <c r="F165" s="45" t="s">
        <v>134</v>
      </c>
      <c r="G165" s="45">
        <v>97</v>
      </c>
      <c r="H165" s="45">
        <v>3</v>
      </c>
      <c r="I165" s="45">
        <f t="shared" si="2"/>
        <v>100</v>
      </c>
      <c r="J165" s="53" t="s">
        <v>111</v>
      </c>
      <c r="K165" s="147" t="s">
        <v>384</v>
      </c>
      <c r="L165" s="230" t="s">
        <v>379</v>
      </c>
      <c r="M165" s="53">
        <v>15</v>
      </c>
      <c r="N165" s="139" t="s">
        <v>458</v>
      </c>
      <c r="O165" s="139" t="s">
        <v>458</v>
      </c>
      <c r="P165" s="53">
        <v>0</v>
      </c>
      <c r="Q165" s="147" t="s">
        <v>458</v>
      </c>
      <c r="R165" s="147" t="s">
        <v>458</v>
      </c>
      <c r="S165" s="53">
        <v>0</v>
      </c>
      <c r="T165" s="53">
        <v>85</v>
      </c>
      <c r="U165" s="53" t="s">
        <v>458</v>
      </c>
      <c r="V165" s="53" t="s">
        <v>458</v>
      </c>
      <c r="W165" s="147" t="s">
        <v>458</v>
      </c>
      <c r="X165" s="147" t="s">
        <v>458</v>
      </c>
      <c r="Y165" s="59">
        <v>35.14329</v>
      </c>
      <c r="Z165" s="59">
        <v>27</v>
      </c>
      <c r="AA165" s="123" t="s">
        <v>458</v>
      </c>
      <c r="AB165" s="123" t="s">
        <v>458</v>
      </c>
      <c r="AC165" s="123" t="s">
        <v>458</v>
      </c>
      <c r="AD165" s="123" t="s">
        <v>458</v>
      </c>
      <c r="AE165" s="123" t="s">
        <v>458</v>
      </c>
      <c r="AF165" s="123" t="s">
        <v>458</v>
      </c>
      <c r="AG165" s="300" t="s">
        <v>458</v>
      </c>
      <c r="AH165" s="123" t="s">
        <v>458</v>
      </c>
      <c r="AI165" s="123" t="s">
        <v>458</v>
      </c>
      <c r="AJ165" s="144" t="s">
        <v>216</v>
      </c>
      <c r="AK165" s="121" t="s">
        <v>458</v>
      </c>
      <c r="AL165" s="121" t="s">
        <v>458</v>
      </c>
      <c r="AM165" s="121" t="s">
        <v>458</v>
      </c>
      <c r="AN165" s="53">
        <v>400</v>
      </c>
      <c r="AO165" s="144" t="s">
        <v>296</v>
      </c>
      <c r="AP165" s="136" t="s">
        <v>458</v>
      </c>
      <c r="AQ165" s="139" t="s">
        <v>458</v>
      </c>
      <c r="AR165" s="139" t="s">
        <v>458</v>
      </c>
      <c r="AS165" s="139" t="s">
        <v>458</v>
      </c>
      <c r="AT165" s="136" t="s">
        <v>458</v>
      </c>
      <c r="AU165" s="139" t="s">
        <v>458</v>
      </c>
    </row>
    <row r="166" spans="1:47" ht="16" x14ac:dyDescent="0.2">
      <c r="A166" s="25">
        <v>15</v>
      </c>
      <c r="B166" s="31">
        <v>6</v>
      </c>
      <c r="C166" s="31" t="s">
        <v>67</v>
      </c>
      <c r="D166" s="41" t="s">
        <v>295</v>
      </c>
      <c r="E166" s="45" t="s">
        <v>133</v>
      </c>
      <c r="F166" s="45" t="s">
        <v>134</v>
      </c>
      <c r="G166" s="45">
        <v>97</v>
      </c>
      <c r="H166" s="45">
        <v>3</v>
      </c>
      <c r="I166" s="45">
        <f t="shared" si="2"/>
        <v>100</v>
      </c>
      <c r="J166" s="53" t="s">
        <v>111</v>
      </c>
      <c r="K166" s="41" t="s">
        <v>393</v>
      </c>
      <c r="L166" s="224" t="s">
        <v>379</v>
      </c>
      <c r="M166" s="53">
        <v>15</v>
      </c>
      <c r="N166" s="139" t="s">
        <v>458</v>
      </c>
      <c r="O166" s="139" t="s">
        <v>458</v>
      </c>
      <c r="P166" s="41">
        <v>0</v>
      </c>
      <c r="Q166" s="147" t="s">
        <v>458</v>
      </c>
      <c r="R166" s="147" t="s">
        <v>458</v>
      </c>
      <c r="S166" s="53">
        <v>0</v>
      </c>
      <c r="T166" s="53">
        <v>85</v>
      </c>
      <c r="U166" s="53" t="s">
        <v>458</v>
      </c>
      <c r="V166" s="53" t="s">
        <v>458</v>
      </c>
      <c r="W166" s="147" t="s">
        <v>458</v>
      </c>
      <c r="X166" s="147" t="s">
        <v>458</v>
      </c>
      <c r="Y166" s="59">
        <v>99.547510000000003</v>
      </c>
      <c r="Z166" s="59">
        <v>1</v>
      </c>
      <c r="AA166" s="123" t="s">
        <v>458</v>
      </c>
      <c r="AB166" s="123" t="s">
        <v>458</v>
      </c>
      <c r="AC166" s="123" t="s">
        <v>458</v>
      </c>
      <c r="AD166" s="123" t="s">
        <v>458</v>
      </c>
      <c r="AE166" s="123" t="s">
        <v>458</v>
      </c>
      <c r="AF166" s="123" t="s">
        <v>458</v>
      </c>
      <c r="AG166" s="300" t="s">
        <v>458</v>
      </c>
      <c r="AH166" s="123" t="s">
        <v>458</v>
      </c>
      <c r="AI166" s="123" t="s">
        <v>458</v>
      </c>
      <c r="AJ166" s="144" t="s">
        <v>216</v>
      </c>
      <c r="AK166" s="121" t="s">
        <v>458</v>
      </c>
      <c r="AL166" s="121" t="s">
        <v>458</v>
      </c>
      <c r="AM166" s="121" t="s">
        <v>458</v>
      </c>
      <c r="AN166" s="53">
        <v>400</v>
      </c>
      <c r="AO166" s="144" t="s">
        <v>296</v>
      </c>
      <c r="AP166" s="136" t="s">
        <v>458</v>
      </c>
      <c r="AQ166" s="139" t="s">
        <v>458</v>
      </c>
      <c r="AR166" s="139" t="s">
        <v>458</v>
      </c>
      <c r="AS166" s="139" t="s">
        <v>458</v>
      </c>
      <c r="AT166" s="136" t="s">
        <v>458</v>
      </c>
      <c r="AU166" s="139" t="s">
        <v>458</v>
      </c>
    </row>
    <row r="167" spans="1:47" ht="16" x14ac:dyDescent="0.2">
      <c r="A167" s="25">
        <v>15</v>
      </c>
      <c r="B167" s="31">
        <v>6</v>
      </c>
      <c r="C167" s="31" t="s">
        <v>67</v>
      </c>
      <c r="D167" s="41" t="s">
        <v>295</v>
      </c>
      <c r="E167" s="45" t="s">
        <v>133</v>
      </c>
      <c r="F167" s="45" t="s">
        <v>134</v>
      </c>
      <c r="G167" s="45">
        <v>97</v>
      </c>
      <c r="H167" s="45">
        <v>3</v>
      </c>
      <c r="I167" s="45">
        <f t="shared" si="2"/>
        <v>100</v>
      </c>
      <c r="J167" s="53" t="s">
        <v>111</v>
      </c>
      <c r="K167" s="41" t="s">
        <v>393</v>
      </c>
      <c r="L167" s="224" t="s">
        <v>379</v>
      </c>
      <c r="M167" s="53">
        <v>15</v>
      </c>
      <c r="N167" s="139" t="s">
        <v>458</v>
      </c>
      <c r="O167" s="139" t="s">
        <v>458</v>
      </c>
      <c r="P167" s="41">
        <v>0</v>
      </c>
      <c r="Q167" s="147" t="s">
        <v>458</v>
      </c>
      <c r="R167" s="147" t="s">
        <v>458</v>
      </c>
      <c r="S167" s="53">
        <v>0</v>
      </c>
      <c r="T167" s="53">
        <v>85</v>
      </c>
      <c r="U167" s="53" t="s">
        <v>458</v>
      </c>
      <c r="V167" s="53" t="s">
        <v>458</v>
      </c>
      <c r="W167" s="147" t="s">
        <v>458</v>
      </c>
      <c r="X167" s="147" t="s">
        <v>458</v>
      </c>
      <c r="Y167" s="59">
        <v>94.871790000000004</v>
      </c>
      <c r="Z167" s="59">
        <v>6</v>
      </c>
      <c r="AA167" s="123" t="s">
        <v>458</v>
      </c>
      <c r="AB167" s="123" t="s">
        <v>458</v>
      </c>
      <c r="AC167" s="123" t="s">
        <v>458</v>
      </c>
      <c r="AD167" s="123" t="s">
        <v>458</v>
      </c>
      <c r="AE167" s="123" t="s">
        <v>458</v>
      </c>
      <c r="AF167" s="123" t="s">
        <v>458</v>
      </c>
      <c r="AG167" s="300" t="s">
        <v>458</v>
      </c>
      <c r="AH167" s="123" t="s">
        <v>458</v>
      </c>
      <c r="AI167" s="123" t="s">
        <v>458</v>
      </c>
      <c r="AJ167" s="144" t="s">
        <v>216</v>
      </c>
      <c r="AK167" s="121" t="s">
        <v>458</v>
      </c>
      <c r="AL167" s="121" t="s">
        <v>458</v>
      </c>
      <c r="AM167" s="121" t="s">
        <v>458</v>
      </c>
      <c r="AN167" s="53">
        <v>400</v>
      </c>
      <c r="AO167" s="144" t="s">
        <v>296</v>
      </c>
      <c r="AP167" s="136" t="s">
        <v>458</v>
      </c>
      <c r="AQ167" s="139" t="s">
        <v>458</v>
      </c>
      <c r="AR167" s="139" t="s">
        <v>458</v>
      </c>
      <c r="AS167" s="139" t="s">
        <v>458</v>
      </c>
      <c r="AT167" s="136" t="s">
        <v>458</v>
      </c>
      <c r="AU167" s="139" t="s">
        <v>458</v>
      </c>
    </row>
    <row r="168" spans="1:47" ht="16" x14ac:dyDescent="0.2">
      <c r="A168" s="25">
        <v>15</v>
      </c>
      <c r="B168" s="31">
        <v>6</v>
      </c>
      <c r="C168" s="31" t="s">
        <v>67</v>
      </c>
      <c r="D168" s="41" t="s">
        <v>295</v>
      </c>
      <c r="E168" s="45" t="s">
        <v>133</v>
      </c>
      <c r="F168" s="45" t="s">
        <v>134</v>
      </c>
      <c r="G168" s="45">
        <v>97</v>
      </c>
      <c r="H168" s="45">
        <v>3</v>
      </c>
      <c r="I168" s="45">
        <f t="shared" si="2"/>
        <v>100</v>
      </c>
      <c r="J168" s="53" t="s">
        <v>111</v>
      </c>
      <c r="K168" s="41" t="s">
        <v>393</v>
      </c>
      <c r="L168" s="224" t="s">
        <v>379</v>
      </c>
      <c r="M168" s="53">
        <v>15</v>
      </c>
      <c r="N168" s="139" t="s">
        <v>458</v>
      </c>
      <c r="O168" s="139" t="s">
        <v>458</v>
      </c>
      <c r="P168" s="41">
        <v>0</v>
      </c>
      <c r="Q168" s="147" t="s">
        <v>458</v>
      </c>
      <c r="R168" s="147" t="s">
        <v>458</v>
      </c>
      <c r="S168" s="53">
        <v>0</v>
      </c>
      <c r="T168" s="53">
        <v>85</v>
      </c>
      <c r="U168" s="53" t="s">
        <v>458</v>
      </c>
      <c r="V168" s="53" t="s">
        <v>458</v>
      </c>
      <c r="W168" s="147" t="s">
        <v>458</v>
      </c>
      <c r="X168" s="147" t="s">
        <v>458</v>
      </c>
      <c r="Y168" s="59">
        <v>90.950230000000005</v>
      </c>
      <c r="Z168" s="59">
        <v>10</v>
      </c>
      <c r="AA168" s="123" t="s">
        <v>458</v>
      </c>
      <c r="AB168" s="123" t="s">
        <v>458</v>
      </c>
      <c r="AC168" s="123" t="s">
        <v>458</v>
      </c>
      <c r="AD168" s="123" t="s">
        <v>458</v>
      </c>
      <c r="AE168" s="123" t="s">
        <v>458</v>
      </c>
      <c r="AF168" s="123" t="s">
        <v>458</v>
      </c>
      <c r="AG168" s="300" t="s">
        <v>458</v>
      </c>
      <c r="AH168" s="123" t="s">
        <v>458</v>
      </c>
      <c r="AI168" s="123" t="s">
        <v>458</v>
      </c>
      <c r="AJ168" s="144" t="s">
        <v>216</v>
      </c>
      <c r="AK168" s="121" t="s">
        <v>458</v>
      </c>
      <c r="AL168" s="121" t="s">
        <v>458</v>
      </c>
      <c r="AM168" s="121" t="s">
        <v>458</v>
      </c>
      <c r="AN168" s="53">
        <v>400</v>
      </c>
      <c r="AO168" s="144" t="s">
        <v>296</v>
      </c>
      <c r="AP168" s="136" t="s">
        <v>458</v>
      </c>
      <c r="AQ168" s="139" t="s">
        <v>458</v>
      </c>
      <c r="AR168" s="139" t="s">
        <v>458</v>
      </c>
      <c r="AS168" s="139" t="s">
        <v>458</v>
      </c>
      <c r="AT168" s="136" t="s">
        <v>458</v>
      </c>
      <c r="AU168" s="139" t="s">
        <v>458</v>
      </c>
    </row>
    <row r="169" spans="1:47" ht="16" x14ac:dyDescent="0.2">
      <c r="A169" s="25">
        <v>15</v>
      </c>
      <c r="B169" s="31">
        <v>6</v>
      </c>
      <c r="C169" s="31" t="s">
        <v>67</v>
      </c>
      <c r="D169" s="41" t="s">
        <v>295</v>
      </c>
      <c r="E169" s="45" t="s">
        <v>133</v>
      </c>
      <c r="F169" s="45" t="s">
        <v>134</v>
      </c>
      <c r="G169" s="45">
        <v>97</v>
      </c>
      <c r="H169" s="45">
        <v>3</v>
      </c>
      <c r="I169" s="45">
        <f t="shared" si="2"/>
        <v>100</v>
      </c>
      <c r="J169" s="53" t="s">
        <v>111</v>
      </c>
      <c r="K169" s="41" t="s">
        <v>393</v>
      </c>
      <c r="L169" s="224" t="s">
        <v>379</v>
      </c>
      <c r="M169" s="53">
        <v>15</v>
      </c>
      <c r="N169" s="139" t="s">
        <v>458</v>
      </c>
      <c r="O169" s="139" t="s">
        <v>458</v>
      </c>
      <c r="P169" s="41">
        <v>0</v>
      </c>
      <c r="Q169" s="147" t="s">
        <v>458</v>
      </c>
      <c r="R169" s="147" t="s">
        <v>458</v>
      </c>
      <c r="S169" s="53">
        <v>0</v>
      </c>
      <c r="T169" s="53">
        <v>85</v>
      </c>
      <c r="U169" s="53" t="s">
        <v>458</v>
      </c>
      <c r="V169" s="53" t="s">
        <v>458</v>
      </c>
      <c r="W169" s="147" t="s">
        <v>458</v>
      </c>
      <c r="X169" s="147" t="s">
        <v>458</v>
      </c>
      <c r="Y169" s="59">
        <v>85.972849999999994</v>
      </c>
      <c r="Z169" s="59">
        <v>15</v>
      </c>
      <c r="AA169" s="123" t="s">
        <v>458</v>
      </c>
      <c r="AB169" s="123" t="s">
        <v>458</v>
      </c>
      <c r="AC169" s="123" t="s">
        <v>458</v>
      </c>
      <c r="AD169" s="123" t="s">
        <v>458</v>
      </c>
      <c r="AE169" s="123" t="s">
        <v>458</v>
      </c>
      <c r="AF169" s="123" t="s">
        <v>458</v>
      </c>
      <c r="AG169" s="300" t="s">
        <v>458</v>
      </c>
      <c r="AH169" s="123" t="s">
        <v>458</v>
      </c>
      <c r="AI169" s="123" t="s">
        <v>458</v>
      </c>
      <c r="AJ169" s="144" t="s">
        <v>216</v>
      </c>
      <c r="AK169" s="121" t="s">
        <v>458</v>
      </c>
      <c r="AL169" s="121" t="s">
        <v>458</v>
      </c>
      <c r="AM169" s="121" t="s">
        <v>458</v>
      </c>
      <c r="AN169" s="53">
        <v>400</v>
      </c>
      <c r="AO169" s="144" t="s">
        <v>296</v>
      </c>
      <c r="AP169" s="136" t="s">
        <v>458</v>
      </c>
      <c r="AQ169" s="139" t="s">
        <v>458</v>
      </c>
      <c r="AR169" s="139" t="s">
        <v>458</v>
      </c>
      <c r="AS169" s="139" t="s">
        <v>458</v>
      </c>
      <c r="AT169" s="136" t="s">
        <v>458</v>
      </c>
      <c r="AU169" s="139" t="s">
        <v>458</v>
      </c>
    </row>
    <row r="170" spans="1:47" ht="16" x14ac:dyDescent="0.2">
      <c r="A170" s="25">
        <v>15</v>
      </c>
      <c r="B170" s="31">
        <v>6</v>
      </c>
      <c r="C170" s="31" t="s">
        <v>67</v>
      </c>
      <c r="D170" s="41" t="s">
        <v>295</v>
      </c>
      <c r="E170" s="45" t="s">
        <v>133</v>
      </c>
      <c r="F170" s="45" t="s">
        <v>134</v>
      </c>
      <c r="G170" s="45">
        <v>97</v>
      </c>
      <c r="H170" s="45">
        <v>3</v>
      </c>
      <c r="I170" s="45">
        <f t="shared" si="2"/>
        <v>100</v>
      </c>
      <c r="J170" s="53" t="s">
        <v>111</v>
      </c>
      <c r="K170" s="41" t="s">
        <v>393</v>
      </c>
      <c r="L170" s="224" t="s">
        <v>379</v>
      </c>
      <c r="M170" s="53">
        <v>15</v>
      </c>
      <c r="N170" s="139" t="s">
        <v>458</v>
      </c>
      <c r="O170" s="139" t="s">
        <v>458</v>
      </c>
      <c r="P170" s="41">
        <v>0</v>
      </c>
      <c r="Q170" s="147" t="s">
        <v>458</v>
      </c>
      <c r="R170" s="147" t="s">
        <v>458</v>
      </c>
      <c r="S170" s="53">
        <v>0</v>
      </c>
      <c r="T170" s="53">
        <v>85</v>
      </c>
      <c r="U170" s="53" t="s">
        <v>458</v>
      </c>
      <c r="V170" s="53" t="s">
        <v>458</v>
      </c>
      <c r="W170" s="147" t="s">
        <v>458</v>
      </c>
      <c r="X170" s="147" t="s">
        <v>458</v>
      </c>
      <c r="Y170" s="59">
        <v>78.280540000000002</v>
      </c>
      <c r="Z170" s="59">
        <v>20</v>
      </c>
      <c r="AA170" s="123" t="s">
        <v>458</v>
      </c>
      <c r="AB170" s="123" t="s">
        <v>458</v>
      </c>
      <c r="AC170" s="123" t="s">
        <v>458</v>
      </c>
      <c r="AD170" s="123" t="s">
        <v>458</v>
      </c>
      <c r="AE170" s="123" t="s">
        <v>458</v>
      </c>
      <c r="AF170" s="123" t="s">
        <v>458</v>
      </c>
      <c r="AG170" s="300" t="s">
        <v>458</v>
      </c>
      <c r="AH170" s="123" t="s">
        <v>458</v>
      </c>
      <c r="AI170" s="123" t="s">
        <v>458</v>
      </c>
      <c r="AJ170" s="144" t="s">
        <v>216</v>
      </c>
      <c r="AK170" s="121" t="s">
        <v>458</v>
      </c>
      <c r="AL170" s="121" t="s">
        <v>458</v>
      </c>
      <c r="AM170" s="121" t="s">
        <v>458</v>
      </c>
      <c r="AN170" s="53">
        <v>400</v>
      </c>
      <c r="AO170" s="144" t="s">
        <v>296</v>
      </c>
      <c r="AP170" s="136" t="s">
        <v>458</v>
      </c>
      <c r="AQ170" s="139" t="s">
        <v>458</v>
      </c>
      <c r="AR170" s="139" t="s">
        <v>458</v>
      </c>
      <c r="AS170" s="139" t="s">
        <v>458</v>
      </c>
      <c r="AT170" s="136" t="s">
        <v>458</v>
      </c>
      <c r="AU170" s="139" t="s">
        <v>458</v>
      </c>
    </row>
    <row r="171" spans="1:47" ht="16" x14ac:dyDescent="0.2">
      <c r="A171" s="25">
        <v>15</v>
      </c>
      <c r="B171" s="31">
        <v>6</v>
      </c>
      <c r="C171" s="31" t="s">
        <v>67</v>
      </c>
      <c r="D171" s="41" t="s">
        <v>295</v>
      </c>
      <c r="E171" s="45" t="s">
        <v>133</v>
      </c>
      <c r="F171" s="45" t="s">
        <v>134</v>
      </c>
      <c r="G171" s="45">
        <v>97</v>
      </c>
      <c r="H171" s="45">
        <v>3</v>
      </c>
      <c r="I171" s="45">
        <f t="shared" si="2"/>
        <v>100</v>
      </c>
      <c r="J171" s="53" t="s">
        <v>111</v>
      </c>
      <c r="K171" s="41" t="s">
        <v>393</v>
      </c>
      <c r="L171" s="224" t="s">
        <v>379</v>
      </c>
      <c r="M171" s="53">
        <v>15</v>
      </c>
      <c r="N171" s="139" t="s">
        <v>458</v>
      </c>
      <c r="O171" s="139" t="s">
        <v>458</v>
      </c>
      <c r="P171" s="41">
        <v>0</v>
      </c>
      <c r="Q171" s="147" t="s">
        <v>458</v>
      </c>
      <c r="R171" s="147" t="s">
        <v>458</v>
      </c>
      <c r="S171" s="53">
        <v>0</v>
      </c>
      <c r="T171" s="53">
        <v>85</v>
      </c>
      <c r="U171" s="53" t="s">
        <v>458</v>
      </c>
      <c r="V171" s="53" t="s">
        <v>458</v>
      </c>
      <c r="W171" s="147" t="s">
        <v>458</v>
      </c>
      <c r="X171" s="147" t="s">
        <v>458</v>
      </c>
      <c r="Y171" s="59">
        <v>51.432879999999997</v>
      </c>
      <c r="Z171" s="59">
        <v>24</v>
      </c>
      <c r="AA171" s="123" t="s">
        <v>458</v>
      </c>
      <c r="AB171" s="123" t="s">
        <v>458</v>
      </c>
      <c r="AC171" s="123" t="s">
        <v>458</v>
      </c>
      <c r="AD171" s="123" t="s">
        <v>458</v>
      </c>
      <c r="AE171" s="123" t="s">
        <v>458</v>
      </c>
      <c r="AF171" s="123" t="s">
        <v>458</v>
      </c>
      <c r="AG171" s="300" t="s">
        <v>458</v>
      </c>
      <c r="AH171" s="123" t="s">
        <v>458</v>
      </c>
      <c r="AI171" s="123" t="s">
        <v>458</v>
      </c>
      <c r="AJ171" s="144" t="s">
        <v>216</v>
      </c>
      <c r="AK171" s="121" t="s">
        <v>458</v>
      </c>
      <c r="AL171" s="121" t="s">
        <v>458</v>
      </c>
      <c r="AM171" s="121" t="s">
        <v>458</v>
      </c>
      <c r="AN171" s="53">
        <v>400</v>
      </c>
      <c r="AO171" s="144" t="s">
        <v>296</v>
      </c>
      <c r="AP171" s="136" t="s">
        <v>458</v>
      </c>
      <c r="AQ171" s="139" t="s">
        <v>458</v>
      </c>
      <c r="AR171" s="139" t="s">
        <v>458</v>
      </c>
      <c r="AS171" s="139" t="s">
        <v>458</v>
      </c>
      <c r="AT171" s="136" t="s">
        <v>458</v>
      </c>
      <c r="AU171" s="139" t="s">
        <v>458</v>
      </c>
    </row>
    <row r="172" spans="1:47" s="18" customFormat="1" ht="16" x14ac:dyDescent="0.2">
      <c r="A172" s="26">
        <v>15</v>
      </c>
      <c r="B172" s="32">
        <v>6</v>
      </c>
      <c r="C172" s="32" t="s">
        <v>67</v>
      </c>
      <c r="D172" s="43" t="s">
        <v>295</v>
      </c>
      <c r="E172" s="46" t="s">
        <v>133</v>
      </c>
      <c r="F172" s="46" t="s">
        <v>134</v>
      </c>
      <c r="G172" s="46">
        <v>97</v>
      </c>
      <c r="H172" s="46">
        <v>3</v>
      </c>
      <c r="I172" s="46">
        <f t="shared" si="2"/>
        <v>100</v>
      </c>
      <c r="J172" s="54" t="s">
        <v>111</v>
      </c>
      <c r="K172" s="43" t="s">
        <v>393</v>
      </c>
      <c r="L172" s="226" t="s">
        <v>379</v>
      </c>
      <c r="M172" s="54">
        <v>15</v>
      </c>
      <c r="N172" s="141" t="s">
        <v>458</v>
      </c>
      <c r="O172" s="141" t="s">
        <v>458</v>
      </c>
      <c r="P172" s="43">
        <v>0</v>
      </c>
      <c r="Q172" s="148" t="s">
        <v>458</v>
      </c>
      <c r="R172" s="148" t="s">
        <v>458</v>
      </c>
      <c r="S172" s="54">
        <v>0</v>
      </c>
      <c r="T172" s="54">
        <v>85</v>
      </c>
      <c r="U172" s="54" t="s">
        <v>458</v>
      </c>
      <c r="V172" s="54" t="s">
        <v>458</v>
      </c>
      <c r="W172" s="148" t="s">
        <v>458</v>
      </c>
      <c r="X172" s="148" t="s">
        <v>458</v>
      </c>
      <c r="Y172" s="60">
        <v>39.969830000000002</v>
      </c>
      <c r="Z172" s="60">
        <v>27</v>
      </c>
      <c r="AA172" s="127" t="s">
        <v>458</v>
      </c>
      <c r="AB172" s="127" t="s">
        <v>458</v>
      </c>
      <c r="AC172" s="127" t="s">
        <v>458</v>
      </c>
      <c r="AD172" s="127" t="s">
        <v>458</v>
      </c>
      <c r="AE172" s="127" t="s">
        <v>458</v>
      </c>
      <c r="AF172" s="127" t="s">
        <v>458</v>
      </c>
      <c r="AG172" s="301" t="s">
        <v>458</v>
      </c>
      <c r="AH172" s="127" t="s">
        <v>458</v>
      </c>
      <c r="AI172" s="127" t="s">
        <v>458</v>
      </c>
      <c r="AJ172" s="145" t="s">
        <v>216</v>
      </c>
      <c r="AK172" s="125" t="s">
        <v>458</v>
      </c>
      <c r="AL172" s="125" t="s">
        <v>458</v>
      </c>
      <c r="AM172" s="125" t="s">
        <v>458</v>
      </c>
      <c r="AN172" s="54">
        <v>400</v>
      </c>
      <c r="AO172" s="145" t="s">
        <v>296</v>
      </c>
      <c r="AP172" s="137" t="s">
        <v>458</v>
      </c>
      <c r="AQ172" s="141" t="s">
        <v>458</v>
      </c>
      <c r="AR172" s="141" t="s">
        <v>458</v>
      </c>
      <c r="AS172" s="141" t="s">
        <v>458</v>
      </c>
      <c r="AT172" s="137" t="s">
        <v>458</v>
      </c>
      <c r="AU172" s="141" t="s">
        <v>458</v>
      </c>
    </row>
    <row r="173" spans="1:47" x14ac:dyDescent="0.2">
      <c r="A173" s="21">
        <v>16</v>
      </c>
      <c r="B173" s="29" t="s">
        <v>349</v>
      </c>
      <c r="C173" s="29" t="s">
        <v>29</v>
      </c>
      <c r="D173" s="41" t="s">
        <v>33</v>
      </c>
      <c r="E173" s="45" t="s">
        <v>133</v>
      </c>
      <c r="F173" s="45" t="s">
        <v>134</v>
      </c>
      <c r="G173" s="45">
        <v>97</v>
      </c>
      <c r="H173" s="45">
        <v>3</v>
      </c>
      <c r="I173" s="45">
        <f t="shared" si="2"/>
        <v>100</v>
      </c>
      <c r="J173" s="144" t="s">
        <v>285</v>
      </c>
      <c r="K173" s="224" t="s">
        <v>380</v>
      </c>
      <c r="L173" s="255" t="s">
        <v>458</v>
      </c>
      <c r="M173" s="53">
        <v>0</v>
      </c>
      <c r="N173" s="255" t="s">
        <v>458</v>
      </c>
      <c r="O173" s="255" t="s">
        <v>458</v>
      </c>
      <c r="P173" s="53">
        <v>0</v>
      </c>
      <c r="Q173" s="255" t="s">
        <v>458</v>
      </c>
      <c r="R173" s="255" t="s">
        <v>458</v>
      </c>
      <c r="S173" s="53">
        <v>0</v>
      </c>
      <c r="T173" s="53">
        <v>100</v>
      </c>
      <c r="U173" s="53" t="s">
        <v>458</v>
      </c>
      <c r="V173" s="53" t="s">
        <v>458</v>
      </c>
      <c r="W173" s="59">
        <v>485</v>
      </c>
      <c r="X173" s="147" t="s">
        <v>458</v>
      </c>
      <c r="Y173" s="147" t="s">
        <v>458</v>
      </c>
      <c r="Z173" s="147" t="s">
        <v>458</v>
      </c>
      <c r="AA173" s="147" t="s">
        <v>458</v>
      </c>
      <c r="AB173" s="147" t="s">
        <v>458</v>
      </c>
      <c r="AC173" s="147" t="s">
        <v>458</v>
      </c>
      <c r="AD173" s="147" t="s">
        <v>458</v>
      </c>
      <c r="AE173" s="147" t="s">
        <v>458</v>
      </c>
      <c r="AF173" s="147" t="s">
        <v>458</v>
      </c>
      <c r="AG173" s="286">
        <v>1.24</v>
      </c>
      <c r="AH173" s="190" t="s">
        <v>109</v>
      </c>
      <c r="AI173" s="123" t="s">
        <v>458</v>
      </c>
      <c r="AJ173" s="144" t="s">
        <v>216</v>
      </c>
      <c r="AK173" s="121" t="s">
        <v>458</v>
      </c>
      <c r="AL173" s="139" t="s">
        <v>458</v>
      </c>
      <c r="AM173" s="139" t="s">
        <v>458</v>
      </c>
      <c r="AN173" s="139" t="s">
        <v>458</v>
      </c>
      <c r="AO173" s="139" t="s">
        <v>458</v>
      </c>
      <c r="AP173" s="136" t="s">
        <v>458</v>
      </c>
      <c r="AQ173" s="139" t="s">
        <v>458</v>
      </c>
      <c r="AR173" s="139" t="s">
        <v>458</v>
      </c>
      <c r="AS173" s="139" t="s">
        <v>458</v>
      </c>
      <c r="AT173" s="136" t="s">
        <v>458</v>
      </c>
      <c r="AU173" s="139" t="s">
        <v>458</v>
      </c>
    </row>
    <row r="174" spans="1:47" x14ac:dyDescent="0.2">
      <c r="A174" s="21">
        <v>16</v>
      </c>
      <c r="B174" s="29" t="s">
        <v>350</v>
      </c>
      <c r="C174" s="29" t="s">
        <v>29</v>
      </c>
      <c r="D174" s="41" t="s">
        <v>33</v>
      </c>
      <c r="E174" s="45" t="s">
        <v>133</v>
      </c>
      <c r="F174" s="45" t="s">
        <v>134</v>
      </c>
      <c r="G174" s="45">
        <v>97</v>
      </c>
      <c r="H174" s="45">
        <v>3</v>
      </c>
      <c r="I174" s="45">
        <f t="shared" si="2"/>
        <v>100</v>
      </c>
      <c r="J174" s="144" t="s">
        <v>285</v>
      </c>
      <c r="K174" s="224" t="s">
        <v>380</v>
      </c>
      <c r="L174" s="255" t="s">
        <v>458</v>
      </c>
      <c r="M174" s="53">
        <v>0</v>
      </c>
      <c r="N174" s="255" t="s">
        <v>458</v>
      </c>
      <c r="O174" s="255" t="s">
        <v>458</v>
      </c>
      <c r="P174" s="53">
        <v>0</v>
      </c>
      <c r="Q174" s="255" t="s">
        <v>458</v>
      </c>
      <c r="R174" s="255" t="s">
        <v>458</v>
      </c>
      <c r="S174" s="53">
        <v>0</v>
      </c>
      <c r="T174" s="53">
        <v>100</v>
      </c>
      <c r="U174" s="53" t="s">
        <v>458</v>
      </c>
      <c r="V174" s="53" t="s">
        <v>458</v>
      </c>
      <c r="W174" s="59">
        <v>485</v>
      </c>
      <c r="X174" s="147" t="s">
        <v>458</v>
      </c>
      <c r="Y174" s="147" t="s">
        <v>458</v>
      </c>
      <c r="Z174" s="147" t="s">
        <v>458</v>
      </c>
      <c r="AA174" s="147" t="s">
        <v>458</v>
      </c>
      <c r="AB174" s="147" t="s">
        <v>458</v>
      </c>
      <c r="AC174" s="147" t="s">
        <v>458</v>
      </c>
      <c r="AD174" s="147" t="s">
        <v>458</v>
      </c>
      <c r="AE174" s="147" t="s">
        <v>458</v>
      </c>
      <c r="AF174" s="147" t="s">
        <v>458</v>
      </c>
      <c r="AG174" s="286">
        <v>1.24</v>
      </c>
      <c r="AH174" s="190" t="s">
        <v>109</v>
      </c>
      <c r="AI174" s="123" t="s">
        <v>458</v>
      </c>
      <c r="AJ174" s="144" t="s">
        <v>216</v>
      </c>
      <c r="AK174" s="121" t="s">
        <v>458</v>
      </c>
      <c r="AL174" s="139" t="s">
        <v>458</v>
      </c>
      <c r="AM174" s="139" t="s">
        <v>458</v>
      </c>
      <c r="AN174" s="139" t="s">
        <v>458</v>
      </c>
      <c r="AO174" s="139" t="s">
        <v>458</v>
      </c>
      <c r="AP174" s="136" t="s">
        <v>458</v>
      </c>
      <c r="AQ174" s="139" t="s">
        <v>458</v>
      </c>
      <c r="AR174" s="139" t="s">
        <v>458</v>
      </c>
      <c r="AS174" s="139" t="s">
        <v>458</v>
      </c>
      <c r="AT174" s="136" t="s">
        <v>458</v>
      </c>
      <c r="AU174" s="139" t="s">
        <v>458</v>
      </c>
    </row>
    <row r="175" spans="1:47" x14ac:dyDescent="0.2">
      <c r="A175" s="21">
        <v>16</v>
      </c>
      <c r="B175" s="29" t="s">
        <v>351</v>
      </c>
      <c r="C175" s="29" t="s">
        <v>29</v>
      </c>
      <c r="D175" s="41" t="s">
        <v>33</v>
      </c>
      <c r="E175" s="45" t="s">
        <v>133</v>
      </c>
      <c r="F175" s="45" t="s">
        <v>134</v>
      </c>
      <c r="G175" s="45">
        <v>97</v>
      </c>
      <c r="H175" s="45">
        <v>3</v>
      </c>
      <c r="I175" s="45">
        <f t="shared" si="2"/>
        <v>100</v>
      </c>
      <c r="J175" s="144" t="s">
        <v>285</v>
      </c>
      <c r="K175" s="224" t="s">
        <v>380</v>
      </c>
      <c r="L175" s="255" t="s">
        <v>458</v>
      </c>
      <c r="M175" s="53">
        <v>0</v>
      </c>
      <c r="N175" s="255" t="s">
        <v>458</v>
      </c>
      <c r="O175" s="255" t="s">
        <v>458</v>
      </c>
      <c r="P175" s="53">
        <v>0</v>
      </c>
      <c r="Q175" s="255" t="s">
        <v>458</v>
      </c>
      <c r="R175" s="255" t="s">
        <v>458</v>
      </c>
      <c r="S175" s="53">
        <v>0</v>
      </c>
      <c r="T175" s="53">
        <v>100</v>
      </c>
      <c r="U175" s="53" t="s">
        <v>458</v>
      </c>
      <c r="V175" s="53" t="s">
        <v>458</v>
      </c>
      <c r="W175" s="59">
        <v>485</v>
      </c>
      <c r="X175" s="147" t="s">
        <v>458</v>
      </c>
      <c r="Y175" s="147" t="s">
        <v>458</v>
      </c>
      <c r="Z175" s="147" t="s">
        <v>458</v>
      </c>
      <c r="AA175" s="147" t="s">
        <v>458</v>
      </c>
      <c r="AB175" s="147" t="s">
        <v>458</v>
      </c>
      <c r="AC175" s="147" t="s">
        <v>458</v>
      </c>
      <c r="AD175" s="147" t="s">
        <v>458</v>
      </c>
      <c r="AE175" s="147" t="s">
        <v>458</v>
      </c>
      <c r="AF175" s="147" t="s">
        <v>458</v>
      </c>
      <c r="AG175" s="286">
        <v>1.24</v>
      </c>
      <c r="AH175" s="190" t="s">
        <v>109</v>
      </c>
      <c r="AI175" s="123" t="s">
        <v>458</v>
      </c>
      <c r="AJ175" s="144" t="s">
        <v>216</v>
      </c>
      <c r="AK175" s="121" t="s">
        <v>458</v>
      </c>
      <c r="AL175" s="139" t="s">
        <v>458</v>
      </c>
      <c r="AM175" s="139" t="s">
        <v>458</v>
      </c>
      <c r="AN175" s="139" t="s">
        <v>458</v>
      </c>
      <c r="AO175" s="139" t="s">
        <v>458</v>
      </c>
      <c r="AP175" s="136" t="s">
        <v>458</v>
      </c>
      <c r="AQ175" s="139" t="s">
        <v>458</v>
      </c>
      <c r="AR175" s="139" t="s">
        <v>458</v>
      </c>
      <c r="AS175" s="139" t="s">
        <v>458</v>
      </c>
      <c r="AT175" s="136" t="s">
        <v>458</v>
      </c>
      <c r="AU175" s="139" t="s">
        <v>458</v>
      </c>
    </row>
    <row r="176" spans="1:47" x14ac:dyDescent="0.2">
      <c r="A176" s="21">
        <v>16</v>
      </c>
      <c r="B176" s="29" t="s">
        <v>352</v>
      </c>
      <c r="C176" s="29" t="s">
        <v>68</v>
      </c>
      <c r="D176" s="41" t="s">
        <v>34</v>
      </c>
      <c r="E176" s="45" t="s">
        <v>133</v>
      </c>
      <c r="F176" s="45" t="s">
        <v>134</v>
      </c>
      <c r="G176" s="45">
        <v>97</v>
      </c>
      <c r="H176" s="45">
        <v>3</v>
      </c>
      <c r="I176" s="45">
        <f t="shared" si="2"/>
        <v>100</v>
      </c>
      <c r="J176" s="53" t="s">
        <v>111</v>
      </c>
      <c r="K176" s="224" t="s">
        <v>380</v>
      </c>
      <c r="L176" s="230" t="s">
        <v>378</v>
      </c>
      <c r="M176" s="53">
        <v>10</v>
      </c>
      <c r="N176" s="255" t="s">
        <v>458</v>
      </c>
      <c r="O176" s="255" t="s">
        <v>458</v>
      </c>
      <c r="P176" s="53">
        <v>0</v>
      </c>
      <c r="Q176" s="255" t="s">
        <v>458</v>
      </c>
      <c r="R176" s="255" t="s">
        <v>458</v>
      </c>
      <c r="S176" s="53">
        <v>0</v>
      </c>
      <c r="T176" s="53">
        <v>90</v>
      </c>
      <c r="U176" s="53" t="s">
        <v>458</v>
      </c>
      <c r="V176" s="53" t="s">
        <v>458</v>
      </c>
      <c r="W176" s="147" t="s">
        <v>458</v>
      </c>
      <c r="X176" s="147" t="s">
        <v>458</v>
      </c>
      <c r="Y176" s="147" t="s">
        <v>458</v>
      </c>
      <c r="Z176" s="147" t="s">
        <v>458</v>
      </c>
      <c r="AA176" s="147" t="s">
        <v>458</v>
      </c>
      <c r="AB176" s="147" t="s">
        <v>458</v>
      </c>
      <c r="AC176" s="147" t="s">
        <v>458</v>
      </c>
      <c r="AD176" s="147" t="s">
        <v>458</v>
      </c>
      <c r="AE176" s="147" t="s">
        <v>458</v>
      </c>
      <c r="AF176" s="147" t="s">
        <v>458</v>
      </c>
      <c r="AG176" s="302" t="s">
        <v>458</v>
      </c>
      <c r="AH176" s="147" t="s">
        <v>458</v>
      </c>
      <c r="AI176" s="123" t="s">
        <v>458</v>
      </c>
      <c r="AJ176" s="144" t="s">
        <v>216</v>
      </c>
      <c r="AK176" s="121" t="s">
        <v>458</v>
      </c>
      <c r="AL176" s="139" t="s">
        <v>458</v>
      </c>
      <c r="AM176" s="139" t="s">
        <v>458</v>
      </c>
      <c r="AN176" s="139" t="s">
        <v>458</v>
      </c>
      <c r="AO176" s="139" t="s">
        <v>458</v>
      </c>
      <c r="AP176" s="136" t="s">
        <v>458</v>
      </c>
      <c r="AQ176" s="139" t="s">
        <v>458</v>
      </c>
      <c r="AR176" s="139" t="s">
        <v>458</v>
      </c>
      <c r="AS176" s="139" t="s">
        <v>458</v>
      </c>
      <c r="AT176" s="136" t="s">
        <v>458</v>
      </c>
      <c r="AU176" s="139" t="s">
        <v>458</v>
      </c>
    </row>
    <row r="177" spans="1:47" x14ac:dyDescent="0.2">
      <c r="A177" s="21">
        <v>16</v>
      </c>
      <c r="B177" s="29" t="s">
        <v>353</v>
      </c>
      <c r="C177" s="29" t="s">
        <v>68</v>
      </c>
      <c r="D177" s="41" t="s">
        <v>34</v>
      </c>
      <c r="E177" s="45" t="s">
        <v>133</v>
      </c>
      <c r="F177" s="45" t="s">
        <v>134</v>
      </c>
      <c r="G177" s="45">
        <v>97</v>
      </c>
      <c r="H177" s="45">
        <v>3</v>
      </c>
      <c r="I177" s="45">
        <f t="shared" si="2"/>
        <v>100</v>
      </c>
      <c r="J177" s="53" t="s">
        <v>111</v>
      </c>
      <c r="K177" s="224" t="s">
        <v>380</v>
      </c>
      <c r="L177" s="230" t="s">
        <v>378</v>
      </c>
      <c r="M177" s="53">
        <v>10</v>
      </c>
      <c r="N177" s="255" t="s">
        <v>458</v>
      </c>
      <c r="O177" s="255" t="s">
        <v>458</v>
      </c>
      <c r="P177" s="53">
        <v>0</v>
      </c>
      <c r="Q177" s="255" t="s">
        <v>458</v>
      </c>
      <c r="R177" s="255" t="s">
        <v>458</v>
      </c>
      <c r="S177" s="53">
        <v>0</v>
      </c>
      <c r="T177" s="53">
        <v>90</v>
      </c>
      <c r="U177" s="53" t="s">
        <v>458</v>
      </c>
      <c r="V177" s="53" t="s">
        <v>458</v>
      </c>
      <c r="W177" s="147" t="s">
        <v>458</v>
      </c>
      <c r="X177" s="147" t="s">
        <v>458</v>
      </c>
      <c r="Y177" s="147" t="s">
        <v>458</v>
      </c>
      <c r="Z177" s="147" t="s">
        <v>458</v>
      </c>
      <c r="AA177" s="147" t="s">
        <v>458</v>
      </c>
      <c r="AB177" s="147" t="s">
        <v>458</v>
      </c>
      <c r="AC177" s="147" t="s">
        <v>458</v>
      </c>
      <c r="AD177" s="147" t="s">
        <v>458</v>
      </c>
      <c r="AE177" s="147" t="s">
        <v>458</v>
      </c>
      <c r="AF177" s="147" t="s">
        <v>458</v>
      </c>
      <c r="AG177" s="302" t="s">
        <v>458</v>
      </c>
      <c r="AH177" s="147" t="s">
        <v>458</v>
      </c>
      <c r="AI177" s="123" t="s">
        <v>458</v>
      </c>
      <c r="AJ177" s="144" t="s">
        <v>216</v>
      </c>
      <c r="AK177" s="121" t="s">
        <v>458</v>
      </c>
      <c r="AL177" s="139" t="s">
        <v>458</v>
      </c>
      <c r="AM177" s="139" t="s">
        <v>458</v>
      </c>
      <c r="AN177" s="139" t="s">
        <v>458</v>
      </c>
      <c r="AO177" s="139" t="s">
        <v>458</v>
      </c>
      <c r="AP177" s="136" t="s">
        <v>458</v>
      </c>
      <c r="AQ177" s="139" t="s">
        <v>458</v>
      </c>
      <c r="AR177" s="139" t="s">
        <v>458</v>
      </c>
      <c r="AS177" s="139" t="s">
        <v>458</v>
      </c>
      <c r="AT177" s="136" t="s">
        <v>458</v>
      </c>
      <c r="AU177" s="139" t="s">
        <v>458</v>
      </c>
    </row>
    <row r="178" spans="1:47" x14ac:dyDescent="0.2">
      <c r="A178" s="21">
        <v>16</v>
      </c>
      <c r="B178" s="29" t="s">
        <v>354</v>
      </c>
      <c r="C178" s="29" t="s">
        <v>68</v>
      </c>
      <c r="D178" s="41" t="s">
        <v>34</v>
      </c>
      <c r="E178" s="45" t="s">
        <v>133</v>
      </c>
      <c r="F178" s="45" t="s">
        <v>134</v>
      </c>
      <c r="G178" s="45">
        <v>97</v>
      </c>
      <c r="H178" s="45">
        <v>3</v>
      </c>
      <c r="I178" s="45">
        <f t="shared" si="2"/>
        <v>100</v>
      </c>
      <c r="J178" s="53" t="s">
        <v>111</v>
      </c>
      <c r="K178" s="224" t="s">
        <v>380</v>
      </c>
      <c r="L178" s="230" t="s">
        <v>378</v>
      </c>
      <c r="M178" s="53">
        <v>10</v>
      </c>
      <c r="N178" s="255" t="s">
        <v>458</v>
      </c>
      <c r="O178" s="255" t="s">
        <v>458</v>
      </c>
      <c r="P178" s="53">
        <v>0</v>
      </c>
      <c r="Q178" s="255" t="s">
        <v>458</v>
      </c>
      <c r="R178" s="255" t="s">
        <v>458</v>
      </c>
      <c r="S178" s="53">
        <v>0</v>
      </c>
      <c r="T178" s="53">
        <v>90</v>
      </c>
      <c r="U178" s="53" t="s">
        <v>458</v>
      </c>
      <c r="V178" s="53" t="s">
        <v>458</v>
      </c>
      <c r="W178" s="147" t="s">
        <v>458</v>
      </c>
      <c r="X178" s="147" t="s">
        <v>458</v>
      </c>
      <c r="Y178" s="147" t="s">
        <v>458</v>
      </c>
      <c r="Z178" s="147" t="s">
        <v>458</v>
      </c>
      <c r="AA178" s="147" t="s">
        <v>458</v>
      </c>
      <c r="AB178" s="147" t="s">
        <v>458</v>
      </c>
      <c r="AC178" s="147" t="s">
        <v>458</v>
      </c>
      <c r="AD178" s="147" t="s">
        <v>458</v>
      </c>
      <c r="AE178" s="147" t="s">
        <v>458</v>
      </c>
      <c r="AF178" s="147" t="s">
        <v>458</v>
      </c>
      <c r="AG178" s="302" t="s">
        <v>458</v>
      </c>
      <c r="AH178" s="147" t="s">
        <v>458</v>
      </c>
      <c r="AI178" s="123" t="s">
        <v>458</v>
      </c>
      <c r="AJ178" s="144" t="s">
        <v>216</v>
      </c>
      <c r="AK178" s="121" t="s">
        <v>458</v>
      </c>
      <c r="AL178" s="139" t="s">
        <v>458</v>
      </c>
      <c r="AM178" s="139" t="s">
        <v>458</v>
      </c>
      <c r="AN178" s="139" t="s">
        <v>458</v>
      </c>
      <c r="AO178" s="139" t="s">
        <v>458</v>
      </c>
      <c r="AP178" s="136" t="s">
        <v>458</v>
      </c>
      <c r="AQ178" s="139" t="s">
        <v>458</v>
      </c>
      <c r="AR178" s="139" t="s">
        <v>458</v>
      </c>
      <c r="AS178" s="139" t="s">
        <v>458</v>
      </c>
      <c r="AT178" s="136" t="s">
        <v>458</v>
      </c>
      <c r="AU178" s="139" t="s">
        <v>458</v>
      </c>
    </row>
    <row r="179" spans="1:47" ht="16" x14ac:dyDescent="0.2">
      <c r="A179" s="21">
        <v>16</v>
      </c>
      <c r="B179" s="29" t="s">
        <v>355</v>
      </c>
      <c r="C179" s="29" t="s">
        <v>69</v>
      </c>
      <c r="D179" s="41" t="s">
        <v>303</v>
      </c>
      <c r="E179" s="45" t="s">
        <v>133</v>
      </c>
      <c r="F179" s="45" t="s">
        <v>134</v>
      </c>
      <c r="G179" s="45">
        <v>97</v>
      </c>
      <c r="H179" s="45">
        <v>3</v>
      </c>
      <c r="I179" s="45">
        <f t="shared" si="2"/>
        <v>100</v>
      </c>
      <c r="J179" s="53" t="s">
        <v>111</v>
      </c>
      <c r="K179" s="224" t="s">
        <v>380</v>
      </c>
      <c r="L179" s="230" t="s">
        <v>378</v>
      </c>
      <c r="M179" s="53">
        <v>10</v>
      </c>
      <c r="N179" s="228" t="s">
        <v>395</v>
      </c>
      <c r="O179" s="239" t="s">
        <v>423</v>
      </c>
      <c r="P179" s="53">
        <v>1</v>
      </c>
      <c r="Q179" s="255" t="s">
        <v>458</v>
      </c>
      <c r="R179" s="255" t="s">
        <v>458</v>
      </c>
      <c r="S179" s="53">
        <v>0</v>
      </c>
      <c r="T179" s="53">
        <v>89</v>
      </c>
      <c r="U179" s="53" t="s">
        <v>458</v>
      </c>
      <c r="V179" s="53" t="s">
        <v>458</v>
      </c>
      <c r="W179" s="147" t="s">
        <v>458</v>
      </c>
      <c r="X179" s="147" t="s">
        <v>458</v>
      </c>
      <c r="Y179" s="147" t="s">
        <v>458</v>
      </c>
      <c r="Z179" s="147" t="s">
        <v>458</v>
      </c>
      <c r="AA179" s="147" t="s">
        <v>458</v>
      </c>
      <c r="AB179" s="147" t="s">
        <v>458</v>
      </c>
      <c r="AC179" s="147" t="s">
        <v>458</v>
      </c>
      <c r="AD179" s="147" t="s">
        <v>458</v>
      </c>
      <c r="AE179" s="147" t="s">
        <v>458</v>
      </c>
      <c r="AF179" s="147" t="s">
        <v>458</v>
      </c>
      <c r="AG179" s="302" t="s">
        <v>458</v>
      </c>
      <c r="AH179" s="147" t="s">
        <v>458</v>
      </c>
      <c r="AI179" s="123" t="s">
        <v>458</v>
      </c>
      <c r="AJ179" s="144" t="s">
        <v>216</v>
      </c>
      <c r="AK179" s="121" t="s">
        <v>458</v>
      </c>
      <c r="AL179" s="139" t="s">
        <v>458</v>
      </c>
      <c r="AM179" s="139" t="s">
        <v>458</v>
      </c>
      <c r="AN179" s="139" t="s">
        <v>458</v>
      </c>
      <c r="AO179" s="139" t="s">
        <v>458</v>
      </c>
      <c r="AP179" s="136" t="s">
        <v>458</v>
      </c>
      <c r="AQ179" s="139" t="s">
        <v>458</v>
      </c>
      <c r="AR179" s="139" t="s">
        <v>458</v>
      </c>
      <c r="AS179" s="139" t="s">
        <v>458</v>
      </c>
      <c r="AT179" s="136" t="s">
        <v>458</v>
      </c>
      <c r="AU179" s="139" t="s">
        <v>458</v>
      </c>
    </row>
    <row r="180" spans="1:47" ht="16" x14ac:dyDescent="0.2">
      <c r="A180" s="21">
        <v>16</v>
      </c>
      <c r="B180" s="29" t="s">
        <v>356</v>
      </c>
      <c r="C180" s="29" t="s">
        <v>69</v>
      </c>
      <c r="D180" s="41" t="s">
        <v>303</v>
      </c>
      <c r="E180" s="45" t="s">
        <v>133</v>
      </c>
      <c r="F180" s="45" t="s">
        <v>134</v>
      </c>
      <c r="G180" s="45">
        <v>97</v>
      </c>
      <c r="H180" s="45">
        <v>3</v>
      </c>
      <c r="I180" s="45">
        <f t="shared" si="2"/>
        <v>100</v>
      </c>
      <c r="J180" s="53" t="s">
        <v>111</v>
      </c>
      <c r="K180" s="224" t="s">
        <v>380</v>
      </c>
      <c r="L180" s="230" t="s">
        <v>378</v>
      </c>
      <c r="M180" s="53">
        <v>10</v>
      </c>
      <c r="N180" s="228" t="s">
        <v>395</v>
      </c>
      <c r="O180" s="239" t="s">
        <v>423</v>
      </c>
      <c r="P180" s="53">
        <v>1</v>
      </c>
      <c r="Q180" s="255" t="s">
        <v>458</v>
      </c>
      <c r="R180" s="255" t="s">
        <v>458</v>
      </c>
      <c r="S180" s="53">
        <v>0</v>
      </c>
      <c r="T180" s="53">
        <v>89</v>
      </c>
      <c r="U180" s="53" t="s">
        <v>458</v>
      </c>
      <c r="V180" s="53" t="s">
        <v>458</v>
      </c>
      <c r="W180" s="147" t="s">
        <v>458</v>
      </c>
      <c r="X180" s="147" t="s">
        <v>458</v>
      </c>
      <c r="Y180" s="147" t="s">
        <v>458</v>
      </c>
      <c r="Z180" s="147" t="s">
        <v>458</v>
      </c>
      <c r="AA180" s="147" t="s">
        <v>458</v>
      </c>
      <c r="AB180" s="147" t="s">
        <v>458</v>
      </c>
      <c r="AC180" s="147" t="s">
        <v>458</v>
      </c>
      <c r="AD180" s="147" t="s">
        <v>458</v>
      </c>
      <c r="AE180" s="147" t="s">
        <v>458</v>
      </c>
      <c r="AF180" s="147" t="s">
        <v>458</v>
      </c>
      <c r="AG180" s="302" t="s">
        <v>458</v>
      </c>
      <c r="AH180" s="147" t="s">
        <v>458</v>
      </c>
      <c r="AI180" s="123" t="s">
        <v>458</v>
      </c>
      <c r="AJ180" s="144" t="s">
        <v>216</v>
      </c>
      <c r="AK180" s="121" t="s">
        <v>458</v>
      </c>
      <c r="AL180" s="139" t="s">
        <v>458</v>
      </c>
      <c r="AM180" s="139" t="s">
        <v>458</v>
      </c>
      <c r="AN180" s="139" t="s">
        <v>458</v>
      </c>
      <c r="AO180" s="139" t="s">
        <v>458</v>
      </c>
      <c r="AP180" s="136" t="s">
        <v>458</v>
      </c>
      <c r="AQ180" s="139" t="s">
        <v>458</v>
      </c>
      <c r="AR180" s="139" t="s">
        <v>458</v>
      </c>
      <c r="AS180" s="139" t="s">
        <v>458</v>
      </c>
      <c r="AT180" s="136" t="s">
        <v>458</v>
      </c>
      <c r="AU180" s="139" t="s">
        <v>458</v>
      </c>
    </row>
    <row r="181" spans="1:47" ht="16" x14ac:dyDescent="0.2">
      <c r="A181" s="21">
        <v>16</v>
      </c>
      <c r="B181" s="29" t="s">
        <v>357</v>
      </c>
      <c r="C181" s="29" t="s">
        <v>69</v>
      </c>
      <c r="D181" s="41" t="s">
        <v>303</v>
      </c>
      <c r="E181" s="45" t="s">
        <v>133</v>
      </c>
      <c r="F181" s="45" t="s">
        <v>134</v>
      </c>
      <c r="G181" s="45">
        <v>97</v>
      </c>
      <c r="H181" s="45">
        <v>3</v>
      </c>
      <c r="I181" s="45">
        <f t="shared" si="2"/>
        <v>100</v>
      </c>
      <c r="J181" s="53" t="s">
        <v>111</v>
      </c>
      <c r="K181" s="224" t="s">
        <v>380</v>
      </c>
      <c r="L181" s="230" t="s">
        <v>378</v>
      </c>
      <c r="M181" s="53">
        <v>10</v>
      </c>
      <c r="N181" s="228" t="s">
        <v>395</v>
      </c>
      <c r="O181" s="239" t="s">
        <v>423</v>
      </c>
      <c r="P181" s="53">
        <v>1</v>
      </c>
      <c r="Q181" s="255" t="s">
        <v>458</v>
      </c>
      <c r="R181" s="255" t="s">
        <v>458</v>
      </c>
      <c r="S181" s="53">
        <v>0</v>
      </c>
      <c r="T181" s="53">
        <v>89</v>
      </c>
      <c r="U181" s="53" t="s">
        <v>458</v>
      </c>
      <c r="V181" s="53" t="s">
        <v>458</v>
      </c>
      <c r="W181" s="147" t="s">
        <v>458</v>
      </c>
      <c r="X181" s="147" t="s">
        <v>458</v>
      </c>
      <c r="Y181" s="147" t="s">
        <v>458</v>
      </c>
      <c r="Z181" s="147" t="s">
        <v>458</v>
      </c>
      <c r="AA181" s="147" t="s">
        <v>458</v>
      </c>
      <c r="AB181" s="147" t="s">
        <v>458</v>
      </c>
      <c r="AC181" s="147" t="s">
        <v>458</v>
      </c>
      <c r="AD181" s="147" t="s">
        <v>458</v>
      </c>
      <c r="AE181" s="147" t="s">
        <v>458</v>
      </c>
      <c r="AF181" s="147" t="s">
        <v>458</v>
      </c>
      <c r="AG181" s="302" t="s">
        <v>458</v>
      </c>
      <c r="AH181" s="147" t="s">
        <v>458</v>
      </c>
      <c r="AI181" s="123" t="s">
        <v>458</v>
      </c>
      <c r="AJ181" s="144" t="s">
        <v>216</v>
      </c>
      <c r="AK181" s="121" t="s">
        <v>458</v>
      </c>
      <c r="AL181" s="139" t="s">
        <v>458</v>
      </c>
      <c r="AM181" s="139" t="s">
        <v>458</v>
      </c>
      <c r="AN181" s="139" t="s">
        <v>458</v>
      </c>
      <c r="AO181" s="139" t="s">
        <v>458</v>
      </c>
      <c r="AP181" s="136" t="s">
        <v>458</v>
      </c>
      <c r="AQ181" s="139" t="s">
        <v>458</v>
      </c>
      <c r="AR181" s="139" t="s">
        <v>458</v>
      </c>
      <c r="AS181" s="139" t="s">
        <v>458</v>
      </c>
      <c r="AT181" s="136" t="s">
        <v>458</v>
      </c>
      <c r="AU181" s="139" t="s">
        <v>458</v>
      </c>
    </row>
    <row r="182" spans="1:47" x14ac:dyDescent="0.2">
      <c r="A182" s="21">
        <v>16</v>
      </c>
      <c r="B182" s="29" t="s">
        <v>358</v>
      </c>
      <c r="C182" s="29" t="s">
        <v>70</v>
      </c>
      <c r="D182" s="41" t="s">
        <v>304</v>
      </c>
      <c r="E182" s="45" t="s">
        <v>133</v>
      </c>
      <c r="F182" s="45" t="s">
        <v>134</v>
      </c>
      <c r="G182" s="45">
        <v>97</v>
      </c>
      <c r="H182" s="45">
        <v>3</v>
      </c>
      <c r="I182" s="45">
        <f t="shared" si="2"/>
        <v>100</v>
      </c>
      <c r="J182" s="53" t="s">
        <v>111</v>
      </c>
      <c r="K182" s="224" t="s">
        <v>380</v>
      </c>
      <c r="L182" s="230" t="s">
        <v>378</v>
      </c>
      <c r="M182" s="53">
        <v>10</v>
      </c>
      <c r="N182" s="147" t="s">
        <v>302</v>
      </c>
      <c r="O182" s="232" t="s">
        <v>379</v>
      </c>
      <c r="P182" s="53">
        <v>10</v>
      </c>
      <c r="Q182" s="255" t="s">
        <v>458</v>
      </c>
      <c r="R182" s="255" t="s">
        <v>458</v>
      </c>
      <c r="S182" s="53">
        <v>0</v>
      </c>
      <c r="T182" s="53">
        <v>80</v>
      </c>
      <c r="U182" s="53" t="s">
        <v>458</v>
      </c>
      <c r="V182" s="53" t="s">
        <v>458</v>
      </c>
      <c r="W182" s="147" t="s">
        <v>458</v>
      </c>
      <c r="X182" s="147" t="s">
        <v>458</v>
      </c>
      <c r="Y182" s="147" t="s">
        <v>458</v>
      </c>
      <c r="Z182" s="147" t="s">
        <v>458</v>
      </c>
      <c r="AA182" s="147" t="s">
        <v>458</v>
      </c>
      <c r="AB182" s="147" t="s">
        <v>458</v>
      </c>
      <c r="AC182" s="147" t="s">
        <v>458</v>
      </c>
      <c r="AD182" s="147" t="s">
        <v>458</v>
      </c>
      <c r="AE182" s="147" t="s">
        <v>458</v>
      </c>
      <c r="AF182" s="147" t="s">
        <v>458</v>
      </c>
      <c r="AG182" s="302" t="s">
        <v>458</v>
      </c>
      <c r="AH182" s="147" t="s">
        <v>458</v>
      </c>
      <c r="AI182" s="123" t="s">
        <v>458</v>
      </c>
      <c r="AJ182" s="144" t="s">
        <v>216</v>
      </c>
      <c r="AK182" s="121" t="s">
        <v>458</v>
      </c>
      <c r="AL182" s="139" t="s">
        <v>458</v>
      </c>
      <c r="AM182" s="139" t="s">
        <v>458</v>
      </c>
      <c r="AN182" s="139" t="s">
        <v>458</v>
      </c>
      <c r="AO182" s="139" t="s">
        <v>458</v>
      </c>
      <c r="AP182" s="136" t="s">
        <v>458</v>
      </c>
      <c r="AQ182" s="139" t="s">
        <v>458</v>
      </c>
      <c r="AR182" s="139" t="s">
        <v>458</v>
      </c>
      <c r="AS182" s="139" t="s">
        <v>458</v>
      </c>
      <c r="AT182" s="136" t="s">
        <v>458</v>
      </c>
      <c r="AU182" s="139" t="s">
        <v>458</v>
      </c>
    </row>
    <row r="183" spans="1:47" x14ac:dyDescent="0.2">
      <c r="A183" s="21">
        <v>16</v>
      </c>
      <c r="B183" s="29" t="s">
        <v>359</v>
      </c>
      <c r="C183" s="29" t="s">
        <v>70</v>
      </c>
      <c r="D183" s="41" t="s">
        <v>304</v>
      </c>
      <c r="E183" s="45" t="s">
        <v>133</v>
      </c>
      <c r="F183" s="45" t="s">
        <v>134</v>
      </c>
      <c r="G183" s="45">
        <v>97</v>
      </c>
      <c r="H183" s="45">
        <v>3</v>
      </c>
      <c r="I183" s="45">
        <f t="shared" si="2"/>
        <v>100</v>
      </c>
      <c r="J183" s="53" t="s">
        <v>111</v>
      </c>
      <c r="K183" s="224" t="s">
        <v>380</v>
      </c>
      <c r="L183" s="230" t="s">
        <v>378</v>
      </c>
      <c r="M183" s="53">
        <v>10</v>
      </c>
      <c r="N183" s="147" t="s">
        <v>302</v>
      </c>
      <c r="O183" s="232" t="s">
        <v>379</v>
      </c>
      <c r="P183" s="53">
        <v>10</v>
      </c>
      <c r="Q183" s="255" t="s">
        <v>458</v>
      </c>
      <c r="R183" s="255" t="s">
        <v>458</v>
      </c>
      <c r="S183" s="53">
        <v>0</v>
      </c>
      <c r="T183" s="53">
        <v>80</v>
      </c>
      <c r="U183" s="53" t="s">
        <v>458</v>
      </c>
      <c r="V183" s="53" t="s">
        <v>458</v>
      </c>
      <c r="W183" s="147" t="s">
        <v>458</v>
      </c>
      <c r="X183" s="147" t="s">
        <v>458</v>
      </c>
      <c r="Y183" s="147" t="s">
        <v>458</v>
      </c>
      <c r="Z183" s="147" t="s">
        <v>458</v>
      </c>
      <c r="AA183" s="147" t="s">
        <v>458</v>
      </c>
      <c r="AB183" s="147" t="s">
        <v>458</v>
      </c>
      <c r="AC183" s="147" t="s">
        <v>458</v>
      </c>
      <c r="AD183" s="147" t="s">
        <v>458</v>
      </c>
      <c r="AE183" s="147" t="s">
        <v>458</v>
      </c>
      <c r="AF183" s="147" t="s">
        <v>458</v>
      </c>
      <c r="AG183" s="302" t="s">
        <v>458</v>
      </c>
      <c r="AH183" s="147" t="s">
        <v>458</v>
      </c>
      <c r="AI183" s="123" t="s">
        <v>458</v>
      </c>
      <c r="AJ183" s="144" t="s">
        <v>216</v>
      </c>
      <c r="AK183" s="121" t="s">
        <v>458</v>
      </c>
      <c r="AL183" s="139" t="s">
        <v>458</v>
      </c>
      <c r="AM183" s="139" t="s">
        <v>458</v>
      </c>
      <c r="AN183" s="139" t="s">
        <v>458</v>
      </c>
      <c r="AO183" s="139" t="s">
        <v>458</v>
      </c>
      <c r="AP183" s="136" t="s">
        <v>458</v>
      </c>
      <c r="AQ183" s="139" t="s">
        <v>458</v>
      </c>
      <c r="AR183" s="139" t="s">
        <v>458</v>
      </c>
      <c r="AS183" s="139" t="s">
        <v>458</v>
      </c>
      <c r="AT183" s="136" t="s">
        <v>458</v>
      </c>
      <c r="AU183" s="139" t="s">
        <v>458</v>
      </c>
    </row>
    <row r="184" spans="1:47" s="18" customFormat="1" x14ac:dyDescent="0.2">
      <c r="A184" s="23">
        <v>16</v>
      </c>
      <c r="B184" s="30" t="s">
        <v>360</v>
      </c>
      <c r="C184" s="30" t="s">
        <v>70</v>
      </c>
      <c r="D184" s="43" t="s">
        <v>304</v>
      </c>
      <c r="E184" s="46" t="s">
        <v>133</v>
      </c>
      <c r="F184" s="46" t="s">
        <v>134</v>
      </c>
      <c r="G184" s="46">
        <v>97</v>
      </c>
      <c r="H184" s="46">
        <v>3</v>
      </c>
      <c r="I184" s="46">
        <f t="shared" si="2"/>
        <v>100</v>
      </c>
      <c r="J184" s="54" t="s">
        <v>111</v>
      </c>
      <c r="K184" s="226" t="s">
        <v>380</v>
      </c>
      <c r="L184" s="231" t="s">
        <v>378</v>
      </c>
      <c r="M184" s="54">
        <v>10</v>
      </c>
      <c r="N184" s="148" t="s">
        <v>302</v>
      </c>
      <c r="O184" s="233" t="s">
        <v>379</v>
      </c>
      <c r="P184" s="54">
        <v>10</v>
      </c>
      <c r="Q184" s="256" t="s">
        <v>458</v>
      </c>
      <c r="R184" s="256" t="s">
        <v>458</v>
      </c>
      <c r="S184" s="54">
        <v>0</v>
      </c>
      <c r="T184" s="54">
        <v>80</v>
      </c>
      <c r="U184" s="54" t="s">
        <v>458</v>
      </c>
      <c r="V184" s="54" t="s">
        <v>458</v>
      </c>
      <c r="W184" s="148" t="s">
        <v>458</v>
      </c>
      <c r="X184" s="148" t="s">
        <v>458</v>
      </c>
      <c r="Y184" s="148" t="s">
        <v>458</v>
      </c>
      <c r="Z184" s="148" t="s">
        <v>458</v>
      </c>
      <c r="AA184" s="148" t="s">
        <v>458</v>
      </c>
      <c r="AB184" s="148" t="s">
        <v>458</v>
      </c>
      <c r="AC184" s="148" t="s">
        <v>458</v>
      </c>
      <c r="AD184" s="148" t="s">
        <v>458</v>
      </c>
      <c r="AE184" s="148" t="s">
        <v>458</v>
      </c>
      <c r="AF184" s="148" t="s">
        <v>458</v>
      </c>
      <c r="AG184" s="303" t="s">
        <v>458</v>
      </c>
      <c r="AH184" s="148" t="s">
        <v>458</v>
      </c>
      <c r="AI184" s="127" t="s">
        <v>458</v>
      </c>
      <c r="AJ184" s="145" t="s">
        <v>216</v>
      </c>
      <c r="AK184" s="125" t="s">
        <v>458</v>
      </c>
      <c r="AL184" s="141" t="s">
        <v>458</v>
      </c>
      <c r="AM184" s="141" t="s">
        <v>458</v>
      </c>
      <c r="AN184" s="141" t="s">
        <v>458</v>
      </c>
      <c r="AO184" s="141" t="s">
        <v>458</v>
      </c>
      <c r="AP184" s="137" t="s">
        <v>458</v>
      </c>
      <c r="AQ184" s="141" t="s">
        <v>458</v>
      </c>
      <c r="AR184" s="141" t="s">
        <v>458</v>
      </c>
      <c r="AS184" s="141" t="s">
        <v>458</v>
      </c>
      <c r="AT184" s="137" t="s">
        <v>458</v>
      </c>
      <c r="AU184" s="141" t="s">
        <v>458</v>
      </c>
    </row>
    <row r="185" spans="1:47" ht="16" x14ac:dyDescent="0.2">
      <c r="A185" s="21">
        <v>18</v>
      </c>
      <c r="B185" s="29" t="s">
        <v>361</v>
      </c>
      <c r="C185" s="29" t="s">
        <v>50</v>
      </c>
      <c r="D185" s="41" t="s">
        <v>322</v>
      </c>
      <c r="E185" s="45" t="s">
        <v>133</v>
      </c>
      <c r="F185" s="45" t="s">
        <v>134</v>
      </c>
      <c r="G185" s="45">
        <v>88</v>
      </c>
      <c r="H185" s="45">
        <v>12</v>
      </c>
      <c r="I185" s="45">
        <f t="shared" si="2"/>
        <v>100</v>
      </c>
      <c r="J185" s="144" t="s">
        <v>111</v>
      </c>
      <c r="K185" s="147" t="s">
        <v>312</v>
      </c>
      <c r="L185" s="230" t="s">
        <v>378</v>
      </c>
      <c r="M185" s="53">
        <v>10</v>
      </c>
      <c r="N185" s="259" t="s">
        <v>458</v>
      </c>
      <c r="O185" s="255" t="s">
        <v>458</v>
      </c>
      <c r="P185" s="53">
        <v>0</v>
      </c>
      <c r="Q185" s="254" t="s">
        <v>458</v>
      </c>
      <c r="R185" s="259" t="s">
        <v>458</v>
      </c>
      <c r="S185" s="53">
        <v>0</v>
      </c>
      <c r="T185" s="53">
        <v>90</v>
      </c>
      <c r="U185" s="53" t="s">
        <v>458</v>
      </c>
      <c r="V185" s="53" t="s">
        <v>458</v>
      </c>
      <c r="W185" s="59">
        <v>690</v>
      </c>
      <c r="X185" s="147" t="s">
        <v>458</v>
      </c>
      <c r="Y185" s="147" t="s">
        <v>458</v>
      </c>
      <c r="Z185" s="147" t="s">
        <v>458</v>
      </c>
      <c r="AA185" s="147" t="s">
        <v>458</v>
      </c>
      <c r="AB185" s="147" t="s">
        <v>458</v>
      </c>
      <c r="AC185" s="147" t="s">
        <v>458</v>
      </c>
      <c r="AD185" s="147" t="s">
        <v>458</v>
      </c>
      <c r="AE185" s="147" t="s">
        <v>458</v>
      </c>
      <c r="AF185" s="147" t="s">
        <v>458</v>
      </c>
      <c r="AG185" s="300" t="s">
        <v>458</v>
      </c>
      <c r="AH185" s="123" t="s">
        <v>458</v>
      </c>
      <c r="AI185" s="123" t="s">
        <v>458</v>
      </c>
      <c r="AJ185" s="144" t="s">
        <v>314</v>
      </c>
      <c r="AK185" s="121" t="s">
        <v>458</v>
      </c>
      <c r="AL185" s="121" t="s">
        <v>458</v>
      </c>
      <c r="AM185" s="121" t="s">
        <v>458</v>
      </c>
      <c r="AN185" s="121" t="s">
        <v>458</v>
      </c>
      <c r="AO185" s="121" t="s">
        <v>458</v>
      </c>
      <c r="AP185" s="123" t="s">
        <v>458</v>
      </c>
      <c r="AQ185" s="121" t="s">
        <v>458</v>
      </c>
      <c r="AR185" s="121" t="s">
        <v>458</v>
      </c>
      <c r="AS185" s="121" t="s">
        <v>458</v>
      </c>
      <c r="AT185" s="123" t="s">
        <v>458</v>
      </c>
      <c r="AU185" s="121" t="s">
        <v>458</v>
      </c>
    </row>
    <row r="186" spans="1:47" ht="16" x14ac:dyDescent="0.2">
      <c r="A186" s="21">
        <v>18</v>
      </c>
      <c r="B186" s="29" t="s">
        <v>362</v>
      </c>
      <c r="C186" s="29" t="s">
        <v>71</v>
      </c>
      <c r="D186" s="41" t="s">
        <v>38</v>
      </c>
      <c r="E186" s="45" t="s">
        <v>133</v>
      </c>
      <c r="F186" s="45" t="s">
        <v>134</v>
      </c>
      <c r="G186" s="45">
        <v>88</v>
      </c>
      <c r="H186" s="45">
        <v>12</v>
      </c>
      <c r="I186" s="45">
        <f t="shared" si="2"/>
        <v>100</v>
      </c>
      <c r="J186" s="144" t="s">
        <v>111</v>
      </c>
      <c r="K186" s="147" t="s">
        <v>312</v>
      </c>
      <c r="L186" s="230" t="s">
        <v>378</v>
      </c>
      <c r="M186" s="53">
        <v>5</v>
      </c>
      <c r="N186" s="144" t="s">
        <v>313</v>
      </c>
      <c r="O186" s="224" t="s">
        <v>379</v>
      </c>
      <c r="P186" s="53">
        <v>50</v>
      </c>
      <c r="Q186" s="254" t="s">
        <v>458</v>
      </c>
      <c r="R186" s="259" t="s">
        <v>458</v>
      </c>
      <c r="S186" s="53">
        <v>0</v>
      </c>
      <c r="T186" s="53">
        <v>45</v>
      </c>
      <c r="U186" s="53" t="s">
        <v>458</v>
      </c>
      <c r="V186" s="53" t="s">
        <v>458</v>
      </c>
      <c r="W186" s="59" t="s">
        <v>458</v>
      </c>
      <c r="X186" s="147" t="s">
        <v>458</v>
      </c>
      <c r="Y186" s="147" t="s">
        <v>458</v>
      </c>
      <c r="Z186" s="147" t="s">
        <v>458</v>
      </c>
      <c r="AA186" s="147" t="s">
        <v>458</v>
      </c>
      <c r="AB186" s="147" t="s">
        <v>458</v>
      </c>
      <c r="AC186" s="147" t="s">
        <v>458</v>
      </c>
      <c r="AD186" s="147" t="s">
        <v>458</v>
      </c>
      <c r="AE186" s="147" t="s">
        <v>458</v>
      </c>
      <c r="AF186" s="147" t="s">
        <v>458</v>
      </c>
      <c r="AG186" s="300" t="s">
        <v>458</v>
      </c>
      <c r="AH186" s="123" t="s">
        <v>458</v>
      </c>
      <c r="AI186" s="123" t="s">
        <v>458</v>
      </c>
      <c r="AJ186" s="144" t="s">
        <v>314</v>
      </c>
      <c r="AK186" s="121" t="s">
        <v>458</v>
      </c>
      <c r="AL186" s="121" t="s">
        <v>458</v>
      </c>
      <c r="AM186" s="121" t="s">
        <v>458</v>
      </c>
      <c r="AN186" s="121" t="s">
        <v>458</v>
      </c>
      <c r="AO186" s="121" t="s">
        <v>458</v>
      </c>
      <c r="AP186" s="123" t="s">
        <v>458</v>
      </c>
      <c r="AQ186" s="121" t="s">
        <v>458</v>
      </c>
      <c r="AR186" s="121" t="s">
        <v>458</v>
      </c>
      <c r="AS186" s="121" t="s">
        <v>458</v>
      </c>
      <c r="AT186" s="123" t="s">
        <v>458</v>
      </c>
      <c r="AU186" s="121" t="s">
        <v>458</v>
      </c>
    </row>
    <row r="187" spans="1:47" ht="32" x14ac:dyDescent="0.2">
      <c r="A187" s="21">
        <v>18</v>
      </c>
      <c r="B187" s="29" t="s">
        <v>363</v>
      </c>
      <c r="C187" s="29" t="s">
        <v>72</v>
      </c>
      <c r="D187" s="41" t="s">
        <v>38</v>
      </c>
      <c r="E187" s="45" t="s">
        <v>133</v>
      </c>
      <c r="F187" s="45" t="s">
        <v>134</v>
      </c>
      <c r="G187" s="45">
        <v>88</v>
      </c>
      <c r="H187" s="45">
        <v>12</v>
      </c>
      <c r="I187" s="45">
        <f t="shared" si="2"/>
        <v>100</v>
      </c>
      <c r="J187" s="144" t="s">
        <v>111</v>
      </c>
      <c r="K187" s="147" t="s">
        <v>312</v>
      </c>
      <c r="L187" s="230" t="s">
        <v>378</v>
      </c>
      <c r="M187" s="53">
        <v>5</v>
      </c>
      <c r="N187" s="144" t="s">
        <v>313</v>
      </c>
      <c r="O187" s="224" t="s">
        <v>379</v>
      </c>
      <c r="P187" s="53">
        <v>45.5</v>
      </c>
      <c r="Q187" s="149" t="s">
        <v>311</v>
      </c>
      <c r="R187" s="232" t="s">
        <v>396</v>
      </c>
      <c r="S187" s="53">
        <v>4.5</v>
      </c>
      <c r="T187" s="53">
        <v>45</v>
      </c>
      <c r="U187" s="53" t="s">
        <v>458</v>
      </c>
      <c r="V187" s="53" t="s">
        <v>458</v>
      </c>
      <c r="W187" s="59" t="s">
        <v>458</v>
      </c>
      <c r="X187" s="147" t="s">
        <v>458</v>
      </c>
      <c r="Y187" s="147" t="s">
        <v>458</v>
      </c>
      <c r="Z187" s="147" t="s">
        <v>458</v>
      </c>
      <c r="AA187" s="147" t="s">
        <v>458</v>
      </c>
      <c r="AB187" s="147" t="s">
        <v>458</v>
      </c>
      <c r="AC187" s="147" t="s">
        <v>458</v>
      </c>
      <c r="AD187" s="147" t="s">
        <v>458</v>
      </c>
      <c r="AE187" s="147" t="s">
        <v>458</v>
      </c>
      <c r="AF187" s="147" t="s">
        <v>458</v>
      </c>
      <c r="AG187" s="300" t="s">
        <v>458</v>
      </c>
      <c r="AH187" s="123" t="s">
        <v>458</v>
      </c>
      <c r="AI187" s="123" t="s">
        <v>458</v>
      </c>
      <c r="AJ187" s="144" t="s">
        <v>314</v>
      </c>
      <c r="AK187" s="121" t="s">
        <v>458</v>
      </c>
      <c r="AL187" s="121" t="s">
        <v>458</v>
      </c>
      <c r="AM187" s="121" t="s">
        <v>458</v>
      </c>
      <c r="AN187" s="121" t="s">
        <v>458</v>
      </c>
      <c r="AO187" s="121" t="s">
        <v>458</v>
      </c>
      <c r="AP187" s="123" t="s">
        <v>458</v>
      </c>
      <c r="AQ187" s="121" t="s">
        <v>458</v>
      </c>
      <c r="AR187" s="121" t="s">
        <v>458</v>
      </c>
      <c r="AS187" s="121" t="s">
        <v>458</v>
      </c>
      <c r="AT187" s="123" t="s">
        <v>458</v>
      </c>
      <c r="AU187" s="121" t="s">
        <v>458</v>
      </c>
    </row>
    <row r="188" spans="1:47" ht="16" x14ac:dyDescent="0.2">
      <c r="A188" s="21">
        <v>18</v>
      </c>
      <c r="B188" s="29" t="s">
        <v>364</v>
      </c>
      <c r="C188" s="29" t="s">
        <v>73</v>
      </c>
      <c r="D188" s="41" t="s">
        <v>40</v>
      </c>
      <c r="E188" s="45" t="s">
        <v>133</v>
      </c>
      <c r="F188" s="45" t="s">
        <v>134</v>
      </c>
      <c r="G188" s="45">
        <v>88</v>
      </c>
      <c r="H188" s="45">
        <v>12</v>
      </c>
      <c r="I188" s="45">
        <f t="shared" si="2"/>
        <v>100</v>
      </c>
      <c r="J188" s="144" t="s">
        <v>111</v>
      </c>
      <c r="K188" s="147" t="s">
        <v>312</v>
      </c>
      <c r="L188" s="230" t="s">
        <v>378</v>
      </c>
      <c r="M188" s="53">
        <v>7</v>
      </c>
      <c r="N188" s="144" t="s">
        <v>313</v>
      </c>
      <c r="O188" s="224" t="s">
        <v>379</v>
      </c>
      <c r="P188" s="53">
        <v>30</v>
      </c>
      <c r="Q188" s="254" t="s">
        <v>458</v>
      </c>
      <c r="R188" s="259" t="s">
        <v>458</v>
      </c>
      <c r="S188" s="53">
        <v>0</v>
      </c>
      <c r="T188" s="53">
        <v>63</v>
      </c>
      <c r="U188" s="53" t="s">
        <v>458</v>
      </c>
      <c r="V188" s="53" t="s">
        <v>458</v>
      </c>
      <c r="W188" s="59" t="s">
        <v>458</v>
      </c>
      <c r="X188" s="147" t="s">
        <v>458</v>
      </c>
      <c r="Y188" s="147" t="s">
        <v>458</v>
      </c>
      <c r="Z188" s="147" t="s">
        <v>458</v>
      </c>
      <c r="AA188" s="147" t="s">
        <v>458</v>
      </c>
      <c r="AB188" s="147" t="s">
        <v>458</v>
      </c>
      <c r="AC188" s="147" t="s">
        <v>458</v>
      </c>
      <c r="AD188" s="147" t="s">
        <v>458</v>
      </c>
      <c r="AE188" s="147" t="s">
        <v>458</v>
      </c>
      <c r="AF188" s="147" t="s">
        <v>458</v>
      </c>
      <c r="AG188" s="300" t="s">
        <v>458</v>
      </c>
      <c r="AH188" s="123" t="s">
        <v>458</v>
      </c>
      <c r="AI188" s="123" t="s">
        <v>458</v>
      </c>
      <c r="AJ188" s="144" t="s">
        <v>314</v>
      </c>
      <c r="AK188" s="121" t="s">
        <v>458</v>
      </c>
      <c r="AL188" s="121" t="s">
        <v>458</v>
      </c>
      <c r="AM188" s="121" t="s">
        <v>458</v>
      </c>
      <c r="AN188" s="121" t="s">
        <v>458</v>
      </c>
      <c r="AO188" s="121" t="s">
        <v>458</v>
      </c>
      <c r="AP188" s="123" t="s">
        <v>458</v>
      </c>
      <c r="AQ188" s="121" t="s">
        <v>458</v>
      </c>
      <c r="AR188" s="121" t="s">
        <v>458</v>
      </c>
      <c r="AS188" s="121" t="s">
        <v>458</v>
      </c>
      <c r="AT188" s="123" t="s">
        <v>458</v>
      </c>
      <c r="AU188" s="121" t="s">
        <v>458</v>
      </c>
    </row>
    <row r="189" spans="1:47" ht="32" x14ac:dyDescent="0.2">
      <c r="A189" s="21">
        <v>18</v>
      </c>
      <c r="B189" s="29" t="s">
        <v>349</v>
      </c>
      <c r="C189" s="29" t="s">
        <v>74</v>
      </c>
      <c r="D189" s="41" t="s">
        <v>40</v>
      </c>
      <c r="E189" s="45" t="s">
        <v>133</v>
      </c>
      <c r="F189" s="45" t="s">
        <v>134</v>
      </c>
      <c r="G189" s="45">
        <v>88</v>
      </c>
      <c r="H189" s="45">
        <v>12</v>
      </c>
      <c r="I189" s="45">
        <f t="shared" si="2"/>
        <v>100</v>
      </c>
      <c r="J189" s="144" t="s">
        <v>111</v>
      </c>
      <c r="K189" s="147" t="s">
        <v>312</v>
      </c>
      <c r="L189" s="230" t="s">
        <v>378</v>
      </c>
      <c r="M189" s="53">
        <v>7</v>
      </c>
      <c r="N189" s="144" t="s">
        <v>313</v>
      </c>
      <c r="O189" s="224" t="s">
        <v>379</v>
      </c>
      <c r="P189" s="53">
        <v>27.3</v>
      </c>
      <c r="Q189" s="225" t="s">
        <v>311</v>
      </c>
      <c r="R189" s="232" t="s">
        <v>396</v>
      </c>
      <c r="S189" s="53">
        <v>2.7</v>
      </c>
      <c r="T189" s="53">
        <v>63</v>
      </c>
      <c r="U189" s="53" t="s">
        <v>458</v>
      </c>
      <c r="V189" s="53" t="s">
        <v>458</v>
      </c>
      <c r="W189" s="59" t="s">
        <v>458</v>
      </c>
      <c r="X189" s="147" t="s">
        <v>458</v>
      </c>
      <c r="Y189" s="147" t="s">
        <v>458</v>
      </c>
      <c r="Z189" s="147" t="s">
        <v>458</v>
      </c>
      <c r="AA189" s="147" t="s">
        <v>458</v>
      </c>
      <c r="AB189" s="147" t="s">
        <v>458</v>
      </c>
      <c r="AC189" s="147" t="s">
        <v>458</v>
      </c>
      <c r="AD189" s="147" t="s">
        <v>458</v>
      </c>
      <c r="AE189" s="147" t="s">
        <v>458</v>
      </c>
      <c r="AF189" s="147" t="s">
        <v>458</v>
      </c>
      <c r="AG189" s="300" t="s">
        <v>458</v>
      </c>
      <c r="AH189" s="123" t="s">
        <v>458</v>
      </c>
      <c r="AI189" s="123" t="s">
        <v>458</v>
      </c>
      <c r="AJ189" s="144" t="s">
        <v>314</v>
      </c>
      <c r="AK189" s="121" t="s">
        <v>458</v>
      </c>
      <c r="AL189" s="121" t="s">
        <v>458</v>
      </c>
      <c r="AM189" s="121" t="s">
        <v>458</v>
      </c>
      <c r="AN189" s="121" t="s">
        <v>458</v>
      </c>
      <c r="AO189" s="121" t="s">
        <v>458</v>
      </c>
      <c r="AP189" s="123" t="s">
        <v>458</v>
      </c>
      <c r="AQ189" s="121" t="s">
        <v>458</v>
      </c>
      <c r="AR189" s="121" t="s">
        <v>458</v>
      </c>
      <c r="AS189" s="121" t="s">
        <v>458</v>
      </c>
      <c r="AT189" s="123" t="s">
        <v>458</v>
      </c>
      <c r="AU189" s="121" t="s">
        <v>458</v>
      </c>
    </row>
    <row r="190" spans="1:47" ht="16" x14ac:dyDescent="0.2">
      <c r="A190" s="21">
        <v>18</v>
      </c>
      <c r="B190" s="29" t="s">
        <v>365</v>
      </c>
      <c r="C190" s="29" t="s">
        <v>50</v>
      </c>
      <c r="D190" s="41" t="s">
        <v>322</v>
      </c>
      <c r="E190" s="45" t="s">
        <v>133</v>
      </c>
      <c r="F190" s="45" t="s">
        <v>134</v>
      </c>
      <c r="G190" s="45">
        <v>88</v>
      </c>
      <c r="H190" s="45">
        <v>12</v>
      </c>
      <c r="I190" s="45">
        <f t="shared" si="2"/>
        <v>100</v>
      </c>
      <c r="J190" s="144" t="s">
        <v>111</v>
      </c>
      <c r="K190" s="147" t="s">
        <v>312</v>
      </c>
      <c r="L190" s="230" t="s">
        <v>378</v>
      </c>
      <c r="M190" s="53">
        <v>10</v>
      </c>
      <c r="N190" s="259" t="s">
        <v>458</v>
      </c>
      <c r="O190" s="255" t="s">
        <v>458</v>
      </c>
      <c r="P190" s="53">
        <v>0</v>
      </c>
      <c r="Q190" s="254" t="s">
        <v>458</v>
      </c>
      <c r="R190" s="259" t="s">
        <v>458</v>
      </c>
      <c r="S190" s="53">
        <v>0</v>
      </c>
      <c r="T190" s="53">
        <v>90</v>
      </c>
      <c r="U190" s="53" t="s">
        <v>458</v>
      </c>
      <c r="V190" s="53" t="s">
        <v>458</v>
      </c>
      <c r="W190" s="59">
        <v>690</v>
      </c>
      <c r="X190" s="147" t="s">
        <v>458</v>
      </c>
      <c r="Y190" s="147" t="s">
        <v>458</v>
      </c>
      <c r="Z190" s="147" t="s">
        <v>458</v>
      </c>
      <c r="AA190" s="147" t="s">
        <v>458</v>
      </c>
      <c r="AB190" s="147" t="s">
        <v>458</v>
      </c>
      <c r="AC190" s="147" t="s">
        <v>458</v>
      </c>
      <c r="AD190" s="147" t="s">
        <v>458</v>
      </c>
      <c r="AE190" s="147" t="s">
        <v>458</v>
      </c>
      <c r="AF190" s="147" t="s">
        <v>458</v>
      </c>
      <c r="AG190" s="300" t="s">
        <v>458</v>
      </c>
      <c r="AH190" s="123" t="s">
        <v>458</v>
      </c>
      <c r="AI190" s="123" t="s">
        <v>458</v>
      </c>
      <c r="AJ190" s="144" t="s">
        <v>314</v>
      </c>
      <c r="AK190" s="121" t="s">
        <v>458</v>
      </c>
      <c r="AL190" s="121" t="s">
        <v>458</v>
      </c>
      <c r="AM190" s="121" t="s">
        <v>458</v>
      </c>
      <c r="AN190" s="121" t="s">
        <v>458</v>
      </c>
      <c r="AO190" s="121" t="s">
        <v>458</v>
      </c>
      <c r="AP190" s="123" t="s">
        <v>458</v>
      </c>
      <c r="AQ190" s="121" t="s">
        <v>458</v>
      </c>
      <c r="AR190" s="121" t="s">
        <v>458</v>
      </c>
      <c r="AS190" s="121" t="s">
        <v>458</v>
      </c>
      <c r="AT190" s="123" t="s">
        <v>458</v>
      </c>
      <c r="AU190" s="121" t="s">
        <v>458</v>
      </c>
    </row>
    <row r="191" spans="1:47" ht="16" x14ac:dyDescent="0.2">
      <c r="A191" s="21">
        <v>18</v>
      </c>
      <c r="B191" s="29" t="s">
        <v>366</v>
      </c>
      <c r="C191" s="29" t="s">
        <v>71</v>
      </c>
      <c r="D191" s="41" t="s">
        <v>38</v>
      </c>
      <c r="E191" s="45" t="s">
        <v>133</v>
      </c>
      <c r="F191" s="45" t="s">
        <v>134</v>
      </c>
      <c r="G191" s="45">
        <v>88</v>
      </c>
      <c r="H191" s="45">
        <v>12</v>
      </c>
      <c r="I191" s="45">
        <f t="shared" si="2"/>
        <v>100</v>
      </c>
      <c r="J191" s="144" t="s">
        <v>111</v>
      </c>
      <c r="K191" s="147" t="s">
        <v>312</v>
      </c>
      <c r="L191" s="230" t="s">
        <v>378</v>
      </c>
      <c r="M191" s="53">
        <v>5</v>
      </c>
      <c r="N191" s="144" t="s">
        <v>313</v>
      </c>
      <c r="O191" s="224" t="s">
        <v>379</v>
      </c>
      <c r="P191" s="53">
        <v>50</v>
      </c>
      <c r="Q191" s="254" t="s">
        <v>458</v>
      </c>
      <c r="R191" s="259" t="s">
        <v>458</v>
      </c>
      <c r="S191" s="53">
        <v>0</v>
      </c>
      <c r="T191" s="53">
        <v>45</v>
      </c>
      <c r="U191" s="53" t="s">
        <v>458</v>
      </c>
      <c r="V191" s="53" t="s">
        <v>458</v>
      </c>
      <c r="W191" s="59" t="s">
        <v>458</v>
      </c>
      <c r="X191" s="147" t="s">
        <v>458</v>
      </c>
      <c r="Y191" s="147" t="s">
        <v>458</v>
      </c>
      <c r="Z191" s="147" t="s">
        <v>458</v>
      </c>
      <c r="AA191" s="147" t="s">
        <v>458</v>
      </c>
      <c r="AB191" s="147" t="s">
        <v>458</v>
      </c>
      <c r="AC191" s="147" t="s">
        <v>458</v>
      </c>
      <c r="AD191" s="147" t="s">
        <v>458</v>
      </c>
      <c r="AE191" s="147" t="s">
        <v>458</v>
      </c>
      <c r="AF191" s="147" t="s">
        <v>458</v>
      </c>
      <c r="AG191" s="300" t="s">
        <v>458</v>
      </c>
      <c r="AH191" s="123" t="s">
        <v>458</v>
      </c>
      <c r="AI191" s="123" t="s">
        <v>458</v>
      </c>
      <c r="AJ191" s="144" t="s">
        <v>314</v>
      </c>
      <c r="AK191" s="121" t="s">
        <v>458</v>
      </c>
      <c r="AL191" s="121" t="s">
        <v>458</v>
      </c>
      <c r="AM191" s="121" t="s">
        <v>458</v>
      </c>
      <c r="AN191" s="121" t="s">
        <v>458</v>
      </c>
      <c r="AO191" s="121" t="s">
        <v>458</v>
      </c>
      <c r="AP191" s="123" t="s">
        <v>458</v>
      </c>
      <c r="AQ191" s="121" t="s">
        <v>458</v>
      </c>
      <c r="AR191" s="121" t="s">
        <v>458</v>
      </c>
      <c r="AS191" s="121" t="s">
        <v>458</v>
      </c>
      <c r="AT191" s="123" t="s">
        <v>458</v>
      </c>
      <c r="AU191" s="121" t="s">
        <v>458</v>
      </c>
    </row>
    <row r="192" spans="1:47" ht="32" x14ac:dyDescent="0.2">
      <c r="A192" s="21">
        <v>18</v>
      </c>
      <c r="B192" s="29" t="s">
        <v>367</v>
      </c>
      <c r="C192" s="29" t="s">
        <v>72</v>
      </c>
      <c r="D192" s="41" t="s">
        <v>38</v>
      </c>
      <c r="E192" s="45" t="s">
        <v>133</v>
      </c>
      <c r="F192" s="45" t="s">
        <v>134</v>
      </c>
      <c r="G192" s="45">
        <v>88</v>
      </c>
      <c r="H192" s="45">
        <v>12</v>
      </c>
      <c r="I192" s="45">
        <f t="shared" si="2"/>
        <v>100</v>
      </c>
      <c r="J192" s="144" t="s">
        <v>111</v>
      </c>
      <c r="K192" s="147" t="s">
        <v>312</v>
      </c>
      <c r="L192" s="230" t="s">
        <v>378</v>
      </c>
      <c r="M192" s="53">
        <v>5</v>
      </c>
      <c r="N192" s="144" t="s">
        <v>313</v>
      </c>
      <c r="O192" s="224" t="s">
        <v>379</v>
      </c>
      <c r="P192" s="53">
        <v>45.5</v>
      </c>
      <c r="Q192" s="149" t="s">
        <v>311</v>
      </c>
      <c r="R192" s="232" t="s">
        <v>396</v>
      </c>
      <c r="S192" s="53">
        <v>4.5</v>
      </c>
      <c r="T192" s="53">
        <v>45</v>
      </c>
      <c r="U192" s="53" t="s">
        <v>458</v>
      </c>
      <c r="V192" s="53" t="s">
        <v>458</v>
      </c>
      <c r="W192" s="59" t="s">
        <v>458</v>
      </c>
      <c r="X192" s="147" t="s">
        <v>458</v>
      </c>
      <c r="Y192" s="147" t="s">
        <v>458</v>
      </c>
      <c r="Z192" s="147" t="s">
        <v>458</v>
      </c>
      <c r="AA192" s="147" t="s">
        <v>458</v>
      </c>
      <c r="AB192" s="147" t="s">
        <v>458</v>
      </c>
      <c r="AC192" s="147" t="s">
        <v>458</v>
      </c>
      <c r="AD192" s="147" t="s">
        <v>458</v>
      </c>
      <c r="AE192" s="147" t="s">
        <v>458</v>
      </c>
      <c r="AF192" s="147" t="s">
        <v>458</v>
      </c>
      <c r="AG192" s="300" t="s">
        <v>458</v>
      </c>
      <c r="AH192" s="123" t="s">
        <v>458</v>
      </c>
      <c r="AI192" s="123" t="s">
        <v>458</v>
      </c>
      <c r="AJ192" s="144" t="s">
        <v>314</v>
      </c>
      <c r="AK192" s="121" t="s">
        <v>458</v>
      </c>
      <c r="AL192" s="121" t="s">
        <v>458</v>
      </c>
      <c r="AM192" s="121" t="s">
        <v>458</v>
      </c>
      <c r="AN192" s="121" t="s">
        <v>458</v>
      </c>
      <c r="AO192" s="121" t="s">
        <v>458</v>
      </c>
      <c r="AP192" s="123" t="s">
        <v>458</v>
      </c>
      <c r="AQ192" s="121" t="s">
        <v>458</v>
      </c>
      <c r="AR192" s="121" t="s">
        <v>458</v>
      </c>
      <c r="AS192" s="121" t="s">
        <v>458</v>
      </c>
      <c r="AT192" s="123" t="s">
        <v>458</v>
      </c>
      <c r="AU192" s="121" t="s">
        <v>458</v>
      </c>
    </row>
    <row r="193" spans="1:47" ht="16" x14ac:dyDescent="0.2">
      <c r="A193" s="21">
        <v>18</v>
      </c>
      <c r="B193" s="29" t="s">
        <v>368</v>
      </c>
      <c r="C193" s="29" t="s">
        <v>73</v>
      </c>
      <c r="D193" s="41" t="s">
        <v>40</v>
      </c>
      <c r="E193" s="45" t="s">
        <v>133</v>
      </c>
      <c r="F193" s="45" t="s">
        <v>134</v>
      </c>
      <c r="G193" s="45">
        <v>88</v>
      </c>
      <c r="H193" s="45">
        <v>12</v>
      </c>
      <c r="I193" s="45">
        <f t="shared" si="2"/>
        <v>100</v>
      </c>
      <c r="J193" s="144" t="s">
        <v>111</v>
      </c>
      <c r="K193" s="147" t="s">
        <v>312</v>
      </c>
      <c r="L193" s="230" t="s">
        <v>378</v>
      </c>
      <c r="M193" s="53">
        <v>7</v>
      </c>
      <c r="N193" s="144" t="s">
        <v>313</v>
      </c>
      <c r="O193" s="224" t="s">
        <v>379</v>
      </c>
      <c r="P193" s="53">
        <v>30</v>
      </c>
      <c r="Q193" s="254" t="s">
        <v>458</v>
      </c>
      <c r="R193" s="259" t="s">
        <v>458</v>
      </c>
      <c r="S193" s="53">
        <v>0</v>
      </c>
      <c r="T193" s="53">
        <v>63</v>
      </c>
      <c r="U193" s="53" t="s">
        <v>458</v>
      </c>
      <c r="V193" s="53" t="s">
        <v>458</v>
      </c>
      <c r="W193" s="59" t="s">
        <v>458</v>
      </c>
      <c r="X193" s="147" t="s">
        <v>458</v>
      </c>
      <c r="Y193" s="147" t="s">
        <v>458</v>
      </c>
      <c r="Z193" s="147" t="s">
        <v>458</v>
      </c>
      <c r="AA193" s="147" t="s">
        <v>458</v>
      </c>
      <c r="AB193" s="147" t="s">
        <v>458</v>
      </c>
      <c r="AC193" s="147" t="s">
        <v>458</v>
      </c>
      <c r="AD193" s="147" t="s">
        <v>458</v>
      </c>
      <c r="AE193" s="147" t="s">
        <v>458</v>
      </c>
      <c r="AF193" s="147" t="s">
        <v>458</v>
      </c>
      <c r="AG193" s="300" t="s">
        <v>458</v>
      </c>
      <c r="AH193" s="123" t="s">
        <v>458</v>
      </c>
      <c r="AI193" s="123" t="s">
        <v>458</v>
      </c>
      <c r="AJ193" s="144" t="s">
        <v>314</v>
      </c>
      <c r="AK193" s="121" t="s">
        <v>458</v>
      </c>
      <c r="AL193" s="121" t="s">
        <v>458</v>
      </c>
      <c r="AM193" s="121" t="s">
        <v>458</v>
      </c>
      <c r="AN193" s="121" t="s">
        <v>458</v>
      </c>
      <c r="AO193" s="121" t="s">
        <v>458</v>
      </c>
      <c r="AP193" s="123" t="s">
        <v>458</v>
      </c>
      <c r="AQ193" s="121" t="s">
        <v>458</v>
      </c>
      <c r="AR193" s="121" t="s">
        <v>458</v>
      </c>
      <c r="AS193" s="121" t="s">
        <v>458</v>
      </c>
      <c r="AT193" s="123" t="s">
        <v>458</v>
      </c>
      <c r="AU193" s="121" t="s">
        <v>458</v>
      </c>
    </row>
    <row r="194" spans="1:47" ht="32" x14ac:dyDescent="0.2">
      <c r="A194" s="21">
        <v>18</v>
      </c>
      <c r="B194" s="29" t="s">
        <v>350</v>
      </c>
      <c r="C194" s="29" t="s">
        <v>74</v>
      </c>
      <c r="D194" s="41" t="s">
        <v>40</v>
      </c>
      <c r="E194" s="45" t="s">
        <v>133</v>
      </c>
      <c r="F194" s="45" t="s">
        <v>134</v>
      </c>
      <c r="G194" s="45">
        <v>88</v>
      </c>
      <c r="H194" s="45">
        <v>12</v>
      </c>
      <c r="I194" s="45">
        <f t="shared" si="2"/>
        <v>100</v>
      </c>
      <c r="J194" s="144" t="s">
        <v>111</v>
      </c>
      <c r="K194" s="147" t="s">
        <v>312</v>
      </c>
      <c r="L194" s="230" t="s">
        <v>378</v>
      </c>
      <c r="M194" s="53">
        <v>7</v>
      </c>
      <c r="N194" s="144" t="s">
        <v>313</v>
      </c>
      <c r="O194" s="224" t="s">
        <v>379</v>
      </c>
      <c r="P194" s="53">
        <v>27.3</v>
      </c>
      <c r="Q194" s="149" t="s">
        <v>311</v>
      </c>
      <c r="R194" s="232" t="s">
        <v>396</v>
      </c>
      <c r="S194" s="53">
        <v>2.7</v>
      </c>
      <c r="T194" s="53">
        <v>63</v>
      </c>
      <c r="U194" s="53" t="s">
        <v>458</v>
      </c>
      <c r="V194" s="53" t="s">
        <v>458</v>
      </c>
      <c r="W194" s="59" t="s">
        <v>458</v>
      </c>
      <c r="X194" s="147" t="s">
        <v>458</v>
      </c>
      <c r="Y194" s="147" t="s">
        <v>458</v>
      </c>
      <c r="Z194" s="147" t="s">
        <v>458</v>
      </c>
      <c r="AA194" s="147" t="s">
        <v>458</v>
      </c>
      <c r="AB194" s="147" t="s">
        <v>458</v>
      </c>
      <c r="AC194" s="147" t="s">
        <v>458</v>
      </c>
      <c r="AD194" s="147" t="s">
        <v>458</v>
      </c>
      <c r="AE194" s="147" t="s">
        <v>458</v>
      </c>
      <c r="AF194" s="147" t="s">
        <v>458</v>
      </c>
      <c r="AG194" s="300" t="s">
        <v>458</v>
      </c>
      <c r="AH194" s="123" t="s">
        <v>458</v>
      </c>
      <c r="AI194" s="123" t="s">
        <v>458</v>
      </c>
      <c r="AJ194" s="144" t="s">
        <v>314</v>
      </c>
      <c r="AK194" s="121" t="s">
        <v>458</v>
      </c>
      <c r="AL194" s="121" t="s">
        <v>458</v>
      </c>
      <c r="AM194" s="121" t="s">
        <v>458</v>
      </c>
      <c r="AN194" s="121" t="s">
        <v>458</v>
      </c>
      <c r="AO194" s="121" t="s">
        <v>458</v>
      </c>
      <c r="AP194" s="123" t="s">
        <v>458</v>
      </c>
      <c r="AQ194" s="121" t="s">
        <v>458</v>
      </c>
      <c r="AR194" s="121" t="s">
        <v>458</v>
      </c>
      <c r="AS194" s="121" t="s">
        <v>458</v>
      </c>
      <c r="AT194" s="123" t="s">
        <v>458</v>
      </c>
      <c r="AU194" s="121" t="s">
        <v>458</v>
      </c>
    </row>
    <row r="195" spans="1:47" ht="16" x14ac:dyDescent="0.2">
      <c r="A195" s="21">
        <v>18</v>
      </c>
      <c r="B195" s="29" t="s">
        <v>369</v>
      </c>
      <c r="C195" s="29" t="s">
        <v>50</v>
      </c>
      <c r="D195" s="41" t="s">
        <v>322</v>
      </c>
      <c r="E195" s="45" t="s">
        <v>133</v>
      </c>
      <c r="F195" s="45" t="s">
        <v>134</v>
      </c>
      <c r="G195" s="45">
        <v>88</v>
      </c>
      <c r="H195" s="45">
        <v>12</v>
      </c>
      <c r="I195" s="45">
        <f t="shared" ref="I195:I227" si="3">(T195+M195+P195+S195)</f>
        <v>100</v>
      </c>
      <c r="J195" s="144" t="s">
        <v>111</v>
      </c>
      <c r="K195" s="147" t="s">
        <v>312</v>
      </c>
      <c r="L195" s="230" t="s">
        <v>378</v>
      </c>
      <c r="M195" s="53">
        <v>10</v>
      </c>
      <c r="N195" s="259" t="s">
        <v>458</v>
      </c>
      <c r="O195" s="255" t="s">
        <v>458</v>
      </c>
      <c r="P195" s="53">
        <v>0</v>
      </c>
      <c r="Q195" s="323" t="s">
        <v>458</v>
      </c>
      <c r="R195" s="318" t="s">
        <v>458</v>
      </c>
      <c r="S195" s="53">
        <v>0</v>
      </c>
      <c r="T195" s="53">
        <v>90</v>
      </c>
      <c r="U195" s="53" t="s">
        <v>458</v>
      </c>
      <c r="V195" s="53" t="s">
        <v>458</v>
      </c>
      <c r="W195" s="59">
        <v>690</v>
      </c>
      <c r="X195" s="147" t="s">
        <v>458</v>
      </c>
      <c r="Y195" s="147" t="s">
        <v>458</v>
      </c>
      <c r="Z195" s="147" t="s">
        <v>458</v>
      </c>
      <c r="AA195" s="147" t="s">
        <v>458</v>
      </c>
      <c r="AB195" s="147" t="s">
        <v>458</v>
      </c>
      <c r="AC195" s="147" t="s">
        <v>458</v>
      </c>
      <c r="AD195" s="147" t="s">
        <v>458</v>
      </c>
      <c r="AE195" s="147" t="s">
        <v>458</v>
      </c>
      <c r="AF195" s="147" t="s">
        <v>458</v>
      </c>
      <c r="AG195" s="300" t="s">
        <v>458</v>
      </c>
      <c r="AH195" s="123" t="s">
        <v>458</v>
      </c>
      <c r="AI195" s="123" t="s">
        <v>458</v>
      </c>
      <c r="AJ195" s="144" t="s">
        <v>314</v>
      </c>
      <c r="AK195" s="121" t="s">
        <v>458</v>
      </c>
      <c r="AL195" s="121" t="s">
        <v>458</v>
      </c>
      <c r="AM195" s="121" t="s">
        <v>458</v>
      </c>
      <c r="AN195" s="121" t="s">
        <v>458</v>
      </c>
      <c r="AO195" s="121" t="s">
        <v>458</v>
      </c>
      <c r="AP195" s="123" t="s">
        <v>458</v>
      </c>
      <c r="AQ195" s="121" t="s">
        <v>458</v>
      </c>
      <c r="AR195" s="121" t="s">
        <v>458</v>
      </c>
      <c r="AS195" s="121" t="s">
        <v>458</v>
      </c>
      <c r="AT195" s="123" t="s">
        <v>458</v>
      </c>
      <c r="AU195" s="121" t="s">
        <v>458</v>
      </c>
    </row>
    <row r="196" spans="1:47" ht="16" x14ac:dyDescent="0.2">
      <c r="A196" s="21">
        <v>18</v>
      </c>
      <c r="B196" s="29" t="s">
        <v>370</v>
      </c>
      <c r="C196" s="29" t="s">
        <v>71</v>
      </c>
      <c r="D196" s="41" t="s">
        <v>38</v>
      </c>
      <c r="E196" s="45" t="s">
        <v>133</v>
      </c>
      <c r="F196" s="45" t="s">
        <v>134</v>
      </c>
      <c r="G196" s="45">
        <v>88</v>
      </c>
      <c r="H196" s="45">
        <v>12</v>
      </c>
      <c r="I196" s="45">
        <f t="shared" si="3"/>
        <v>100</v>
      </c>
      <c r="J196" s="144" t="s">
        <v>111</v>
      </c>
      <c r="K196" s="147" t="s">
        <v>312</v>
      </c>
      <c r="L196" s="230" t="s">
        <v>378</v>
      </c>
      <c r="M196" s="53">
        <v>5</v>
      </c>
      <c r="N196" s="144" t="s">
        <v>313</v>
      </c>
      <c r="O196" s="224" t="s">
        <v>379</v>
      </c>
      <c r="P196" s="53">
        <v>50</v>
      </c>
      <c r="Q196" s="254" t="s">
        <v>458</v>
      </c>
      <c r="R196" s="259" t="s">
        <v>458</v>
      </c>
      <c r="S196" s="53">
        <v>0</v>
      </c>
      <c r="T196" s="53">
        <v>45</v>
      </c>
      <c r="U196" s="53" t="s">
        <v>458</v>
      </c>
      <c r="V196" s="53" t="s">
        <v>458</v>
      </c>
      <c r="W196" s="59" t="s">
        <v>458</v>
      </c>
      <c r="X196" s="147" t="s">
        <v>458</v>
      </c>
      <c r="Y196" s="147" t="s">
        <v>458</v>
      </c>
      <c r="Z196" s="147" t="s">
        <v>458</v>
      </c>
      <c r="AA196" s="147" t="s">
        <v>458</v>
      </c>
      <c r="AB196" s="147" t="s">
        <v>458</v>
      </c>
      <c r="AC196" s="147" t="s">
        <v>458</v>
      </c>
      <c r="AD196" s="147" t="s">
        <v>458</v>
      </c>
      <c r="AE196" s="147" t="s">
        <v>458</v>
      </c>
      <c r="AF196" s="147" t="s">
        <v>458</v>
      </c>
      <c r="AG196" s="300" t="s">
        <v>458</v>
      </c>
      <c r="AH196" s="123" t="s">
        <v>458</v>
      </c>
      <c r="AI196" s="123" t="s">
        <v>458</v>
      </c>
      <c r="AJ196" s="144" t="s">
        <v>314</v>
      </c>
      <c r="AK196" s="121" t="s">
        <v>458</v>
      </c>
      <c r="AL196" s="121" t="s">
        <v>458</v>
      </c>
      <c r="AM196" s="121" t="s">
        <v>458</v>
      </c>
      <c r="AN196" s="121" t="s">
        <v>458</v>
      </c>
      <c r="AO196" s="121" t="s">
        <v>458</v>
      </c>
      <c r="AP196" s="123" t="s">
        <v>458</v>
      </c>
      <c r="AQ196" s="121" t="s">
        <v>458</v>
      </c>
      <c r="AR196" s="121" t="s">
        <v>458</v>
      </c>
      <c r="AS196" s="121" t="s">
        <v>458</v>
      </c>
      <c r="AT196" s="123" t="s">
        <v>458</v>
      </c>
      <c r="AU196" s="121" t="s">
        <v>458</v>
      </c>
    </row>
    <row r="197" spans="1:47" ht="32" x14ac:dyDescent="0.2">
      <c r="A197" s="21">
        <v>18</v>
      </c>
      <c r="B197" s="29" t="s">
        <v>371</v>
      </c>
      <c r="C197" s="29" t="s">
        <v>72</v>
      </c>
      <c r="D197" s="41" t="s">
        <v>38</v>
      </c>
      <c r="E197" s="45" t="s">
        <v>133</v>
      </c>
      <c r="F197" s="45" t="s">
        <v>134</v>
      </c>
      <c r="G197" s="45">
        <v>88</v>
      </c>
      <c r="H197" s="45">
        <v>12</v>
      </c>
      <c r="I197" s="45">
        <f t="shared" si="3"/>
        <v>100</v>
      </c>
      <c r="J197" s="144" t="s">
        <v>111</v>
      </c>
      <c r="K197" s="147" t="s">
        <v>312</v>
      </c>
      <c r="L197" s="230" t="s">
        <v>378</v>
      </c>
      <c r="M197" s="53">
        <v>5</v>
      </c>
      <c r="N197" s="144" t="s">
        <v>313</v>
      </c>
      <c r="O197" s="224" t="s">
        <v>379</v>
      </c>
      <c r="P197" s="53">
        <v>45.5</v>
      </c>
      <c r="Q197" s="149" t="s">
        <v>311</v>
      </c>
      <c r="R197" s="232" t="s">
        <v>396</v>
      </c>
      <c r="S197" s="53">
        <v>4.5</v>
      </c>
      <c r="T197" s="53">
        <v>45</v>
      </c>
      <c r="U197" s="53" t="s">
        <v>458</v>
      </c>
      <c r="V197" s="53" t="s">
        <v>458</v>
      </c>
      <c r="W197" s="59" t="s">
        <v>458</v>
      </c>
      <c r="X197" s="147" t="s">
        <v>458</v>
      </c>
      <c r="Y197" s="147" t="s">
        <v>458</v>
      </c>
      <c r="Z197" s="147" t="s">
        <v>458</v>
      </c>
      <c r="AA197" s="147" t="s">
        <v>458</v>
      </c>
      <c r="AB197" s="147" t="s">
        <v>458</v>
      </c>
      <c r="AC197" s="147" t="s">
        <v>458</v>
      </c>
      <c r="AD197" s="147" t="s">
        <v>458</v>
      </c>
      <c r="AE197" s="147" t="s">
        <v>458</v>
      </c>
      <c r="AF197" s="147" t="s">
        <v>458</v>
      </c>
      <c r="AG197" s="300" t="s">
        <v>458</v>
      </c>
      <c r="AH197" s="123" t="s">
        <v>458</v>
      </c>
      <c r="AI197" s="123" t="s">
        <v>458</v>
      </c>
      <c r="AJ197" s="144" t="s">
        <v>314</v>
      </c>
      <c r="AK197" s="121" t="s">
        <v>458</v>
      </c>
      <c r="AL197" s="121" t="s">
        <v>458</v>
      </c>
      <c r="AM197" s="121" t="s">
        <v>458</v>
      </c>
      <c r="AN197" s="121" t="s">
        <v>458</v>
      </c>
      <c r="AO197" s="121" t="s">
        <v>458</v>
      </c>
      <c r="AP197" s="123" t="s">
        <v>458</v>
      </c>
      <c r="AQ197" s="121" t="s">
        <v>458</v>
      </c>
      <c r="AR197" s="121" t="s">
        <v>458</v>
      </c>
      <c r="AS197" s="121" t="s">
        <v>458</v>
      </c>
      <c r="AT197" s="123" t="s">
        <v>458</v>
      </c>
      <c r="AU197" s="121" t="s">
        <v>458</v>
      </c>
    </row>
    <row r="198" spans="1:47" ht="16" x14ac:dyDescent="0.2">
      <c r="A198" s="21">
        <v>18</v>
      </c>
      <c r="B198" s="29" t="s">
        <v>372</v>
      </c>
      <c r="C198" s="29" t="s">
        <v>73</v>
      </c>
      <c r="D198" s="41" t="s">
        <v>40</v>
      </c>
      <c r="E198" s="45" t="s">
        <v>133</v>
      </c>
      <c r="F198" s="45" t="s">
        <v>134</v>
      </c>
      <c r="G198" s="45">
        <v>88</v>
      </c>
      <c r="H198" s="45">
        <v>12</v>
      </c>
      <c r="I198" s="45">
        <f t="shared" si="3"/>
        <v>100</v>
      </c>
      <c r="J198" s="144" t="s">
        <v>111</v>
      </c>
      <c r="K198" s="147" t="s">
        <v>312</v>
      </c>
      <c r="L198" s="230" t="s">
        <v>378</v>
      </c>
      <c r="M198" s="53">
        <v>7</v>
      </c>
      <c r="N198" s="144" t="s">
        <v>313</v>
      </c>
      <c r="O198" s="224" t="s">
        <v>379</v>
      </c>
      <c r="P198" s="53">
        <v>30</v>
      </c>
      <c r="Q198" s="254" t="s">
        <v>458</v>
      </c>
      <c r="R198" s="259" t="s">
        <v>458</v>
      </c>
      <c r="S198" s="53">
        <v>0</v>
      </c>
      <c r="T198" s="53">
        <v>63</v>
      </c>
      <c r="U198" s="53" t="s">
        <v>458</v>
      </c>
      <c r="V198" s="53" t="s">
        <v>458</v>
      </c>
      <c r="W198" s="59" t="s">
        <v>458</v>
      </c>
      <c r="X198" s="147" t="s">
        <v>458</v>
      </c>
      <c r="Y198" s="147" t="s">
        <v>458</v>
      </c>
      <c r="Z198" s="147" t="s">
        <v>458</v>
      </c>
      <c r="AA198" s="147" t="s">
        <v>458</v>
      </c>
      <c r="AB198" s="147" t="s">
        <v>458</v>
      </c>
      <c r="AC198" s="147" t="s">
        <v>458</v>
      </c>
      <c r="AD198" s="147" t="s">
        <v>458</v>
      </c>
      <c r="AE198" s="147" t="s">
        <v>458</v>
      </c>
      <c r="AF198" s="147" t="s">
        <v>458</v>
      </c>
      <c r="AG198" s="300" t="s">
        <v>458</v>
      </c>
      <c r="AH198" s="123" t="s">
        <v>458</v>
      </c>
      <c r="AI198" s="123" t="s">
        <v>458</v>
      </c>
      <c r="AJ198" s="144" t="s">
        <v>314</v>
      </c>
      <c r="AK198" s="121" t="s">
        <v>458</v>
      </c>
      <c r="AL198" s="121" t="s">
        <v>458</v>
      </c>
      <c r="AM198" s="121" t="s">
        <v>458</v>
      </c>
      <c r="AN198" s="121" t="s">
        <v>458</v>
      </c>
      <c r="AO198" s="121" t="s">
        <v>458</v>
      </c>
      <c r="AP198" s="123" t="s">
        <v>458</v>
      </c>
      <c r="AQ198" s="121" t="s">
        <v>458</v>
      </c>
      <c r="AR198" s="121" t="s">
        <v>458</v>
      </c>
      <c r="AS198" s="121" t="s">
        <v>458</v>
      </c>
      <c r="AT198" s="123" t="s">
        <v>458</v>
      </c>
      <c r="AU198" s="121" t="s">
        <v>458</v>
      </c>
    </row>
    <row r="199" spans="1:47" ht="32" x14ac:dyDescent="0.2">
      <c r="A199" s="21">
        <v>18</v>
      </c>
      <c r="B199" s="29" t="s">
        <v>351</v>
      </c>
      <c r="C199" s="29" t="s">
        <v>74</v>
      </c>
      <c r="D199" s="41" t="s">
        <v>40</v>
      </c>
      <c r="E199" s="45" t="s">
        <v>133</v>
      </c>
      <c r="F199" s="45" t="s">
        <v>134</v>
      </c>
      <c r="G199" s="45">
        <v>88</v>
      </c>
      <c r="H199" s="45">
        <v>12</v>
      </c>
      <c r="I199" s="45">
        <f t="shared" si="3"/>
        <v>100</v>
      </c>
      <c r="J199" s="144" t="s">
        <v>111</v>
      </c>
      <c r="K199" s="147" t="s">
        <v>312</v>
      </c>
      <c r="L199" s="230" t="s">
        <v>378</v>
      </c>
      <c r="M199" s="53">
        <v>7</v>
      </c>
      <c r="N199" s="144" t="s">
        <v>313</v>
      </c>
      <c r="O199" s="224" t="s">
        <v>379</v>
      </c>
      <c r="P199" s="53">
        <v>27.3</v>
      </c>
      <c r="Q199" s="149" t="s">
        <v>311</v>
      </c>
      <c r="R199" s="232" t="s">
        <v>396</v>
      </c>
      <c r="S199" s="53">
        <v>2.7</v>
      </c>
      <c r="T199" s="53">
        <v>63</v>
      </c>
      <c r="U199" s="53" t="s">
        <v>458</v>
      </c>
      <c r="V199" s="53" t="s">
        <v>458</v>
      </c>
      <c r="W199" s="59" t="s">
        <v>458</v>
      </c>
      <c r="X199" s="147" t="s">
        <v>458</v>
      </c>
      <c r="Y199" s="147" t="s">
        <v>458</v>
      </c>
      <c r="Z199" s="147" t="s">
        <v>458</v>
      </c>
      <c r="AA199" s="147" t="s">
        <v>458</v>
      </c>
      <c r="AB199" s="147" t="s">
        <v>458</v>
      </c>
      <c r="AC199" s="147" t="s">
        <v>458</v>
      </c>
      <c r="AD199" s="147" t="s">
        <v>458</v>
      </c>
      <c r="AE199" s="147" t="s">
        <v>458</v>
      </c>
      <c r="AF199" s="147" t="s">
        <v>458</v>
      </c>
      <c r="AG199" s="300" t="s">
        <v>458</v>
      </c>
      <c r="AH199" s="123" t="s">
        <v>458</v>
      </c>
      <c r="AI199" s="123" t="s">
        <v>458</v>
      </c>
      <c r="AJ199" s="144" t="s">
        <v>314</v>
      </c>
      <c r="AK199" s="121" t="s">
        <v>458</v>
      </c>
      <c r="AL199" s="121" t="s">
        <v>458</v>
      </c>
      <c r="AM199" s="121" t="s">
        <v>458</v>
      </c>
      <c r="AN199" s="121" t="s">
        <v>458</v>
      </c>
      <c r="AO199" s="121" t="s">
        <v>458</v>
      </c>
      <c r="AP199" s="123" t="s">
        <v>458</v>
      </c>
      <c r="AQ199" s="121" t="s">
        <v>458</v>
      </c>
      <c r="AR199" s="121" t="s">
        <v>458</v>
      </c>
      <c r="AS199" s="121" t="s">
        <v>458</v>
      </c>
      <c r="AT199" s="123" t="s">
        <v>458</v>
      </c>
      <c r="AU199" s="121" t="s">
        <v>458</v>
      </c>
    </row>
    <row r="200" spans="1:47" ht="16" x14ac:dyDescent="0.2">
      <c r="A200" s="21">
        <v>18</v>
      </c>
      <c r="B200" s="29" t="s">
        <v>373</v>
      </c>
      <c r="C200" s="29" t="s">
        <v>50</v>
      </c>
      <c r="D200" s="41" t="s">
        <v>322</v>
      </c>
      <c r="E200" s="45" t="s">
        <v>133</v>
      </c>
      <c r="F200" s="45" t="s">
        <v>134</v>
      </c>
      <c r="G200" s="45">
        <v>88</v>
      </c>
      <c r="H200" s="45">
        <v>12</v>
      </c>
      <c r="I200" s="45">
        <f t="shared" si="3"/>
        <v>100</v>
      </c>
      <c r="J200" s="144" t="s">
        <v>111</v>
      </c>
      <c r="K200" s="147" t="s">
        <v>312</v>
      </c>
      <c r="L200" s="230" t="s">
        <v>378</v>
      </c>
      <c r="M200" s="53">
        <v>10</v>
      </c>
      <c r="N200" s="259" t="s">
        <v>458</v>
      </c>
      <c r="O200" s="255" t="s">
        <v>458</v>
      </c>
      <c r="P200" s="53">
        <v>0</v>
      </c>
      <c r="Q200" s="254" t="s">
        <v>458</v>
      </c>
      <c r="R200" s="259" t="s">
        <v>458</v>
      </c>
      <c r="S200" s="53">
        <v>0</v>
      </c>
      <c r="T200" s="53">
        <v>90</v>
      </c>
      <c r="U200" s="53" t="s">
        <v>458</v>
      </c>
      <c r="V200" s="53" t="s">
        <v>458</v>
      </c>
      <c r="W200" s="59">
        <v>690</v>
      </c>
      <c r="X200" s="147" t="s">
        <v>458</v>
      </c>
      <c r="Y200" s="147" t="s">
        <v>458</v>
      </c>
      <c r="Z200" s="147" t="s">
        <v>458</v>
      </c>
      <c r="AA200" s="147" t="s">
        <v>458</v>
      </c>
      <c r="AB200" s="147" t="s">
        <v>458</v>
      </c>
      <c r="AC200" s="147" t="s">
        <v>458</v>
      </c>
      <c r="AD200" s="147" t="s">
        <v>458</v>
      </c>
      <c r="AE200" s="147" t="s">
        <v>458</v>
      </c>
      <c r="AF200" s="147" t="s">
        <v>458</v>
      </c>
      <c r="AG200" s="300" t="s">
        <v>458</v>
      </c>
      <c r="AH200" s="123" t="s">
        <v>458</v>
      </c>
      <c r="AI200" s="123" t="s">
        <v>458</v>
      </c>
      <c r="AJ200" s="144" t="s">
        <v>314</v>
      </c>
      <c r="AK200" s="121" t="s">
        <v>458</v>
      </c>
      <c r="AL200" s="121" t="s">
        <v>458</v>
      </c>
      <c r="AM200" s="121" t="s">
        <v>458</v>
      </c>
      <c r="AN200" s="121" t="s">
        <v>458</v>
      </c>
      <c r="AO200" s="121" t="s">
        <v>458</v>
      </c>
      <c r="AP200" s="123" t="s">
        <v>458</v>
      </c>
      <c r="AQ200" s="121" t="s">
        <v>458</v>
      </c>
      <c r="AR200" s="121" t="s">
        <v>458</v>
      </c>
      <c r="AS200" s="121" t="s">
        <v>458</v>
      </c>
      <c r="AT200" s="123" t="s">
        <v>458</v>
      </c>
      <c r="AU200" s="121" t="s">
        <v>458</v>
      </c>
    </row>
    <row r="201" spans="1:47" ht="16" x14ac:dyDescent="0.2">
      <c r="A201" s="21">
        <v>18</v>
      </c>
      <c r="B201" s="29" t="s">
        <v>374</v>
      </c>
      <c r="C201" s="29" t="s">
        <v>71</v>
      </c>
      <c r="D201" s="41" t="s">
        <v>38</v>
      </c>
      <c r="E201" s="45" t="s">
        <v>133</v>
      </c>
      <c r="F201" s="45" t="s">
        <v>134</v>
      </c>
      <c r="G201" s="45">
        <v>88</v>
      </c>
      <c r="H201" s="45">
        <v>12</v>
      </c>
      <c r="I201" s="45">
        <f t="shared" si="3"/>
        <v>100</v>
      </c>
      <c r="J201" s="144" t="s">
        <v>111</v>
      </c>
      <c r="K201" s="147" t="s">
        <v>312</v>
      </c>
      <c r="L201" s="230" t="s">
        <v>378</v>
      </c>
      <c r="M201" s="53">
        <v>5</v>
      </c>
      <c r="N201" s="144" t="s">
        <v>313</v>
      </c>
      <c r="O201" s="224" t="s">
        <v>379</v>
      </c>
      <c r="P201" s="53">
        <v>50</v>
      </c>
      <c r="Q201" s="254" t="s">
        <v>458</v>
      </c>
      <c r="R201" s="259" t="s">
        <v>458</v>
      </c>
      <c r="S201" s="53">
        <v>0</v>
      </c>
      <c r="T201" s="53">
        <v>45</v>
      </c>
      <c r="U201" s="53" t="s">
        <v>458</v>
      </c>
      <c r="V201" s="53" t="s">
        <v>458</v>
      </c>
      <c r="W201" s="59" t="s">
        <v>458</v>
      </c>
      <c r="X201" s="147" t="s">
        <v>458</v>
      </c>
      <c r="Y201" s="147" t="s">
        <v>458</v>
      </c>
      <c r="Z201" s="147" t="s">
        <v>458</v>
      </c>
      <c r="AA201" s="147" t="s">
        <v>458</v>
      </c>
      <c r="AB201" s="147" t="s">
        <v>458</v>
      </c>
      <c r="AC201" s="147" t="s">
        <v>458</v>
      </c>
      <c r="AD201" s="147" t="s">
        <v>458</v>
      </c>
      <c r="AE201" s="147" t="s">
        <v>458</v>
      </c>
      <c r="AF201" s="147" t="s">
        <v>458</v>
      </c>
      <c r="AG201" s="300" t="s">
        <v>458</v>
      </c>
      <c r="AH201" s="123" t="s">
        <v>458</v>
      </c>
      <c r="AI201" s="123" t="s">
        <v>458</v>
      </c>
      <c r="AJ201" s="144" t="s">
        <v>314</v>
      </c>
      <c r="AK201" s="121" t="s">
        <v>458</v>
      </c>
      <c r="AL201" s="121" t="s">
        <v>458</v>
      </c>
      <c r="AM201" s="121" t="s">
        <v>458</v>
      </c>
      <c r="AN201" s="121" t="s">
        <v>458</v>
      </c>
      <c r="AO201" s="121" t="s">
        <v>458</v>
      </c>
      <c r="AP201" s="123" t="s">
        <v>458</v>
      </c>
      <c r="AQ201" s="121" t="s">
        <v>458</v>
      </c>
      <c r="AR201" s="121" t="s">
        <v>458</v>
      </c>
      <c r="AS201" s="121" t="s">
        <v>458</v>
      </c>
      <c r="AT201" s="123" t="s">
        <v>458</v>
      </c>
      <c r="AU201" s="121" t="s">
        <v>458</v>
      </c>
    </row>
    <row r="202" spans="1:47" ht="32" x14ac:dyDescent="0.2">
      <c r="A202" s="21">
        <v>18</v>
      </c>
      <c r="B202" s="29" t="s">
        <v>375</v>
      </c>
      <c r="C202" s="29" t="s">
        <v>72</v>
      </c>
      <c r="D202" s="41" t="s">
        <v>38</v>
      </c>
      <c r="E202" s="45" t="s">
        <v>133</v>
      </c>
      <c r="F202" s="45" t="s">
        <v>134</v>
      </c>
      <c r="G202" s="45">
        <v>88</v>
      </c>
      <c r="H202" s="45">
        <v>12</v>
      </c>
      <c r="I202" s="45">
        <f t="shared" si="3"/>
        <v>100</v>
      </c>
      <c r="J202" s="144" t="s">
        <v>111</v>
      </c>
      <c r="K202" s="147" t="s">
        <v>312</v>
      </c>
      <c r="L202" s="230" t="s">
        <v>378</v>
      </c>
      <c r="M202" s="53">
        <v>5</v>
      </c>
      <c r="N202" s="144" t="s">
        <v>313</v>
      </c>
      <c r="O202" s="224" t="s">
        <v>379</v>
      </c>
      <c r="P202" s="53">
        <v>45.5</v>
      </c>
      <c r="Q202" s="149" t="s">
        <v>311</v>
      </c>
      <c r="R202" s="232" t="s">
        <v>396</v>
      </c>
      <c r="S202" s="53">
        <v>4.5</v>
      </c>
      <c r="T202" s="53">
        <v>45</v>
      </c>
      <c r="U202" s="53" t="s">
        <v>458</v>
      </c>
      <c r="V202" s="53" t="s">
        <v>458</v>
      </c>
      <c r="W202" s="59" t="s">
        <v>458</v>
      </c>
      <c r="X202" s="147" t="s">
        <v>458</v>
      </c>
      <c r="Y202" s="147" t="s">
        <v>458</v>
      </c>
      <c r="Z202" s="147" t="s">
        <v>458</v>
      </c>
      <c r="AA202" s="147" t="s">
        <v>458</v>
      </c>
      <c r="AB202" s="147" t="s">
        <v>458</v>
      </c>
      <c r="AC202" s="147" t="s">
        <v>458</v>
      </c>
      <c r="AD202" s="147" t="s">
        <v>458</v>
      </c>
      <c r="AE202" s="147" t="s">
        <v>458</v>
      </c>
      <c r="AF202" s="147" t="s">
        <v>458</v>
      </c>
      <c r="AG202" s="300" t="s">
        <v>458</v>
      </c>
      <c r="AH202" s="123" t="s">
        <v>458</v>
      </c>
      <c r="AI202" s="123" t="s">
        <v>458</v>
      </c>
      <c r="AJ202" s="144" t="s">
        <v>314</v>
      </c>
      <c r="AK202" s="121" t="s">
        <v>458</v>
      </c>
      <c r="AL202" s="121" t="s">
        <v>458</v>
      </c>
      <c r="AM202" s="121" t="s">
        <v>458</v>
      </c>
      <c r="AN202" s="121" t="s">
        <v>458</v>
      </c>
      <c r="AO202" s="121" t="s">
        <v>458</v>
      </c>
      <c r="AP202" s="123" t="s">
        <v>458</v>
      </c>
      <c r="AQ202" s="121" t="s">
        <v>458</v>
      </c>
      <c r="AR202" s="121" t="s">
        <v>458</v>
      </c>
      <c r="AS202" s="121" t="s">
        <v>458</v>
      </c>
      <c r="AT202" s="123" t="s">
        <v>458</v>
      </c>
      <c r="AU202" s="121" t="s">
        <v>458</v>
      </c>
    </row>
    <row r="203" spans="1:47" ht="16" x14ac:dyDescent="0.2">
      <c r="A203" s="21">
        <v>18</v>
      </c>
      <c r="B203" s="29" t="s">
        <v>376</v>
      </c>
      <c r="C203" s="29" t="s">
        <v>73</v>
      </c>
      <c r="D203" s="41" t="s">
        <v>40</v>
      </c>
      <c r="E203" s="45" t="s">
        <v>133</v>
      </c>
      <c r="F203" s="45" t="s">
        <v>134</v>
      </c>
      <c r="G203" s="45">
        <v>88</v>
      </c>
      <c r="H203" s="45">
        <v>12</v>
      </c>
      <c r="I203" s="45">
        <f t="shared" si="3"/>
        <v>100</v>
      </c>
      <c r="J203" s="144" t="s">
        <v>111</v>
      </c>
      <c r="K203" s="147" t="s">
        <v>312</v>
      </c>
      <c r="L203" s="230" t="s">
        <v>378</v>
      </c>
      <c r="M203" s="53">
        <v>7</v>
      </c>
      <c r="N203" s="144" t="s">
        <v>313</v>
      </c>
      <c r="O203" s="224" t="s">
        <v>379</v>
      </c>
      <c r="P203" s="53">
        <v>30</v>
      </c>
      <c r="Q203" s="254" t="s">
        <v>458</v>
      </c>
      <c r="R203" s="259" t="s">
        <v>458</v>
      </c>
      <c r="S203" s="53">
        <v>0</v>
      </c>
      <c r="T203" s="53">
        <v>63</v>
      </c>
      <c r="U203" s="53" t="s">
        <v>458</v>
      </c>
      <c r="V203" s="53" t="s">
        <v>458</v>
      </c>
      <c r="W203" s="59" t="s">
        <v>458</v>
      </c>
      <c r="X203" s="147" t="s">
        <v>458</v>
      </c>
      <c r="Y203" s="147" t="s">
        <v>458</v>
      </c>
      <c r="Z203" s="147" t="s">
        <v>458</v>
      </c>
      <c r="AA203" s="147" t="s">
        <v>458</v>
      </c>
      <c r="AB203" s="147" t="s">
        <v>458</v>
      </c>
      <c r="AC203" s="147" t="s">
        <v>458</v>
      </c>
      <c r="AD203" s="147" t="s">
        <v>458</v>
      </c>
      <c r="AE203" s="147" t="s">
        <v>458</v>
      </c>
      <c r="AF203" s="147" t="s">
        <v>458</v>
      </c>
      <c r="AG203" s="300" t="s">
        <v>458</v>
      </c>
      <c r="AH203" s="123" t="s">
        <v>458</v>
      </c>
      <c r="AI203" s="123" t="s">
        <v>458</v>
      </c>
      <c r="AJ203" s="144" t="s">
        <v>314</v>
      </c>
      <c r="AK203" s="121" t="s">
        <v>458</v>
      </c>
      <c r="AL203" s="121" t="s">
        <v>458</v>
      </c>
      <c r="AM203" s="121" t="s">
        <v>458</v>
      </c>
      <c r="AN203" s="121" t="s">
        <v>458</v>
      </c>
      <c r="AO203" s="121" t="s">
        <v>458</v>
      </c>
      <c r="AP203" s="123" t="s">
        <v>458</v>
      </c>
      <c r="AQ203" s="121" t="s">
        <v>458</v>
      </c>
      <c r="AR203" s="121" t="s">
        <v>458</v>
      </c>
      <c r="AS203" s="121" t="s">
        <v>458</v>
      </c>
      <c r="AT203" s="123" t="s">
        <v>458</v>
      </c>
      <c r="AU203" s="121" t="s">
        <v>458</v>
      </c>
    </row>
    <row r="204" spans="1:47" s="18" customFormat="1" ht="32" x14ac:dyDescent="0.2">
      <c r="A204" s="23">
        <v>18</v>
      </c>
      <c r="B204" s="30" t="s">
        <v>377</v>
      </c>
      <c r="C204" s="30" t="s">
        <v>74</v>
      </c>
      <c r="D204" s="43" t="s">
        <v>40</v>
      </c>
      <c r="E204" s="46" t="s">
        <v>133</v>
      </c>
      <c r="F204" s="46" t="s">
        <v>134</v>
      </c>
      <c r="G204" s="46">
        <v>88</v>
      </c>
      <c r="H204" s="46">
        <v>12</v>
      </c>
      <c r="I204" s="46">
        <f t="shared" si="3"/>
        <v>100</v>
      </c>
      <c r="J204" s="145" t="s">
        <v>111</v>
      </c>
      <c r="K204" s="148" t="s">
        <v>312</v>
      </c>
      <c r="L204" s="231" t="s">
        <v>378</v>
      </c>
      <c r="M204" s="54">
        <v>7</v>
      </c>
      <c r="N204" s="145" t="s">
        <v>313</v>
      </c>
      <c r="O204" s="226" t="s">
        <v>379</v>
      </c>
      <c r="P204" s="54">
        <v>27.3</v>
      </c>
      <c r="Q204" s="229" t="s">
        <v>311</v>
      </c>
      <c r="R204" s="233" t="s">
        <v>396</v>
      </c>
      <c r="S204" s="54">
        <v>2.7</v>
      </c>
      <c r="T204" s="54">
        <v>63</v>
      </c>
      <c r="U204" s="54" t="s">
        <v>458</v>
      </c>
      <c r="V204" s="54" t="s">
        <v>458</v>
      </c>
      <c r="W204" s="60" t="s">
        <v>458</v>
      </c>
      <c r="X204" s="148" t="s">
        <v>458</v>
      </c>
      <c r="Y204" s="148" t="s">
        <v>458</v>
      </c>
      <c r="Z204" s="148" t="s">
        <v>458</v>
      </c>
      <c r="AA204" s="148" t="s">
        <v>458</v>
      </c>
      <c r="AB204" s="148" t="s">
        <v>458</v>
      </c>
      <c r="AC204" s="148" t="s">
        <v>458</v>
      </c>
      <c r="AD204" s="148" t="s">
        <v>458</v>
      </c>
      <c r="AE204" s="148" t="s">
        <v>458</v>
      </c>
      <c r="AF204" s="148" t="s">
        <v>458</v>
      </c>
      <c r="AG204" s="301" t="s">
        <v>458</v>
      </c>
      <c r="AH204" s="127" t="s">
        <v>458</v>
      </c>
      <c r="AI204" s="127" t="s">
        <v>458</v>
      </c>
      <c r="AJ204" s="145" t="s">
        <v>314</v>
      </c>
      <c r="AK204" s="125" t="s">
        <v>458</v>
      </c>
      <c r="AL204" s="125" t="s">
        <v>458</v>
      </c>
      <c r="AM204" s="125" t="s">
        <v>458</v>
      </c>
      <c r="AN204" s="125" t="s">
        <v>458</v>
      </c>
      <c r="AO204" s="125" t="s">
        <v>458</v>
      </c>
      <c r="AP204" s="127" t="s">
        <v>458</v>
      </c>
      <c r="AQ204" s="125" t="s">
        <v>458</v>
      </c>
      <c r="AR204" s="125" t="s">
        <v>458</v>
      </c>
      <c r="AS204" s="125" t="s">
        <v>458</v>
      </c>
      <c r="AT204" s="127" t="s">
        <v>458</v>
      </c>
      <c r="AU204" s="125" t="s">
        <v>458</v>
      </c>
    </row>
    <row r="205" spans="1:47" x14ac:dyDescent="0.2">
      <c r="A205" s="21">
        <v>19</v>
      </c>
      <c r="B205" s="29" t="s">
        <v>361</v>
      </c>
      <c r="C205" s="29" t="s">
        <v>75</v>
      </c>
      <c r="D205" s="41" t="s">
        <v>33</v>
      </c>
      <c r="E205" s="45" t="s">
        <v>133</v>
      </c>
      <c r="F205" s="45" t="s">
        <v>134</v>
      </c>
      <c r="G205" s="362" t="s">
        <v>479</v>
      </c>
      <c r="H205" s="362" t="s">
        <v>480</v>
      </c>
      <c r="I205" s="45">
        <f t="shared" si="3"/>
        <v>100</v>
      </c>
      <c r="J205" s="165" t="s">
        <v>285</v>
      </c>
      <c r="K205" s="255" t="s">
        <v>458</v>
      </c>
      <c r="L205" s="255" t="s">
        <v>458</v>
      </c>
      <c r="M205" s="53">
        <v>0</v>
      </c>
      <c r="N205" s="165" t="s">
        <v>458</v>
      </c>
      <c r="O205" s="165" t="s">
        <v>458</v>
      </c>
      <c r="P205" s="165">
        <v>0</v>
      </c>
      <c r="Q205" s="168" t="s">
        <v>458</v>
      </c>
      <c r="R205" s="165" t="s">
        <v>458</v>
      </c>
      <c r="S205" s="165">
        <v>0</v>
      </c>
      <c r="T205" s="53">
        <v>100</v>
      </c>
      <c r="U205" s="53" t="s">
        <v>458</v>
      </c>
      <c r="V205" s="53" t="s">
        <v>458</v>
      </c>
      <c r="W205" s="59" t="s">
        <v>458</v>
      </c>
      <c r="X205" s="147" t="s">
        <v>458</v>
      </c>
      <c r="Y205" s="147" t="s">
        <v>458</v>
      </c>
      <c r="Z205" s="147" t="s">
        <v>458</v>
      </c>
      <c r="AA205" s="59" t="s">
        <v>458</v>
      </c>
      <c r="AB205" s="147" t="s">
        <v>458</v>
      </c>
      <c r="AC205" s="147" t="s">
        <v>458</v>
      </c>
      <c r="AD205" s="147" t="s">
        <v>458</v>
      </c>
      <c r="AE205" s="147" t="s">
        <v>458</v>
      </c>
      <c r="AF205" s="147" t="s">
        <v>458</v>
      </c>
      <c r="AG205" s="300" t="s">
        <v>458</v>
      </c>
      <c r="AH205" s="123" t="s">
        <v>458</v>
      </c>
      <c r="AI205" s="147" t="s">
        <v>458</v>
      </c>
      <c r="AJ205" s="165" t="s">
        <v>216</v>
      </c>
      <c r="AK205" s="144" t="s">
        <v>458</v>
      </c>
      <c r="AL205" s="165">
        <v>25</v>
      </c>
      <c r="AM205" s="165">
        <v>10</v>
      </c>
      <c r="AN205" s="165">
        <v>0.1</v>
      </c>
      <c r="AO205" s="165" t="s">
        <v>110</v>
      </c>
      <c r="AP205" s="147" t="s">
        <v>458</v>
      </c>
      <c r="AQ205" s="144" t="s">
        <v>458</v>
      </c>
      <c r="AR205" s="144" t="s">
        <v>458</v>
      </c>
      <c r="AS205" s="144" t="s">
        <v>458</v>
      </c>
      <c r="AT205" s="147" t="s">
        <v>458</v>
      </c>
      <c r="AU205" s="144" t="s">
        <v>458</v>
      </c>
    </row>
    <row r="206" spans="1:47" x14ac:dyDescent="0.2">
      <c r="A206" s="21">
        <v>19</v>
      </c>
      <c r="B206" s="29" t="s">
        <v>365</v>
      </c>
      <c r="C206" s="29" t="s">
        <v>76</v>
      </c>
      <c r="D206" s="41" t="s">
        <v>33</v>
      </c>
      <c r="E206" s="45" t="s">
        <v>133</v>
      </c>
      <c r="F206" s="45" t="s">
        <v>134</v>
      </c>
      <c r="G206" s="362" t="s">
        <v>479</v>
      </c>
      <c r="H206" s="362" t="s">
        <v>480</v>
      </c>
      <c r="I206" s="45">
        <f t="shared" si="3"/>
        <v>100</v>
      </c>
      <c r="J206" s="165" t="s">
        <v>285</v>
      </c>
      <c r="K206" s="255" t="s">
        <v>458</v>
      </c>
      <c r="L206" s="255" t="s">
        <v>458</v>
      </c>
      <c r="M206" s="53">
        <v>0</v>
      </c>
      <c r="N206" s="165" t="s">
        <v>458</v>
      </c>
      <c r="O206" s="165" t="s">
        <v>458</v>
      </c>
      <c r="P206" s="165">
        <v>0</v>
      </c>
      <c r="Q206" s="168" t="s">
        <v>458</v>
      </c>
      <c r="R206" s="165" t="s">
        <v>458</v>
      </c>
      <c r="S206" s="165">
        <v>0</v>
      </c>
      <c r="T206" s="53">
        <v>100</v>
      </c>
      <c r="U206" s="53" t="s">
        <v>458</v>
      </c>
      <c r="V206" s="53" t="s">
        <v>458</v>
      </c>
      <c r="W206" s="59" t="s">
        <v>458</v>
      </c>
      <c r="X206" s="147" t="s">
        <v>458</v>
      </c>
      <c r="Y206" s="147" t="s">
        <v>458</v>
      </c>
      <c r="Z206" s="147" t="s">
        <v>458</v>
      </c>
      <c r="AA206" s="59" t="s">
        <v>458</v>
      </c>
      <c r="AB206" s="147" t="s">
        <v>458</v>
      </c>
      <c r="AC206" s="147" t="s">
        <v>458</v>
      </c>
      <c r="AD206" s="147" t="s">
        <v>458</v>
      </c>
      <c r="AE206" s="147" t="s">
        <v>458</v>
      </c>
      <c r="AF206" s="147" t="s">
        <v>458</v>
      </c>
      <c r="AG206" s="300" t="s">
        <v>458</v>
      </c>
      <c r="AH206" s="123" t="s">
        <v>458</v>
      </c>
      <c r="AI206" s="147" t="s">
        <v>458</v>
      </c>
      <c r="AJ206" s="165" t="s">
        <v>216</v>
      </c>
      <c r="AK206" s="144" t="s">
        <v>458</v>
      </c>
      <c r="AL206" s="165">
        <v>25</v>
      </c>
      <c r="AM206" s="165">
        <v>10</v>
      </c>
      <c r="AN206" s="165">
        <v>0.1</v>
      </c>
      <c r="AO206" s="165" t="s">
        <v>110</v>
      </c>
      <c r="AP206" s="147" t="s">
        <v>458</v>
      </c>
      <c r="AQ206" s="144" t="s">
        <v>458</v>
      </c>
      <c r="AR206" s="144" t="s">
        <v>458</v>
      </c>
      <c r="AS206" s="144" t="s">
        <v>458</v>
      </c>
      <c r="AT206" s="147" t="s">
        <v>458</v>
      </c>
      <c r="AU206" s="144" t="s">
        <v>458</v>
      </c>
    </row>
    <row r="207" spans="1:47" x14ac:dyDescent="0.2">
      <c r="A207" s="21">
        <v>19</v>
      </c>
      <c r="B207" s="29">
        <v>2</v>
      </c>
      <c r="C207" s="29" t="s">
        <v>77</v>
      </c>
      <c r="D207" s="41" t="s">
        <v>38</v>
      </c>
      <c r="E207" s="45" t="s">
        <v>133</v>
      </c>
      <c r="F207" s="45" t="s">
        <v>134</v>
      </c>
      <c r="G207" s="362" t="s">
        <v>479</v>
      </c>
      <c r="H207" s="362" t="s">
        <v>480</v>
      </c>
      <c r="I207" s="45">
        <f t="shared" si="3"/>
        <v>100</v>
      </c>
      <c r="J207" s="144" t="s">
        <v>111</v>
      </c>
      <c r="K207" s="168" t="s">
        <v>321</v>
      </c>
      <c r="L207" s="230" t="s">
        <v>379</v>
      </c>
      <c r="M207" s="53">
        <v>50</v>
      </c>
      <c r="N207" s="165" t="s">
        <v>458</v>
      </c>
      <c r="O207" s="165" t="s">
        <v>458</v>
      </c>
      <c r="P207" s="165">
        <v>0</v>
      </c>
      <c r="Q207" s="168" t="s">
        <v>458</v>
      </c>
      <c r="R207" s="165" t="s">
        <v>458</v>
      </c>
      <c r="S207" s="165">
        <v>0</v>
      </c>
      <c r="T207" s="53">
        <v>50</v>
      </c>
      <c r="U207" s="53" t="s">
        <v>458</v>
      </c>
      <c r="V207" s="53" t="s">
        <v>458</v>
      </c>
      <c r="W207" s="59" t="s">
        <v>458</v>
      </c>
      <c r="X207" s="147" t="s">
        <v>458</v>
      </c>
      <c r="Y207" s="147" t="s">
        <v>458</v>
      </c>
      <c r="Z207" s="147" t="s">
        <v>458</v>
      </c>
      <c r="AA207" s="59" t="s">
        <v>458</v>
      </c>
      <c r="AB207" s="147" t="s">
        <v>458</v>
      </c>
      <c r="AC207" s="147" t="s">
        <v>458</v>
      </c>
      <c r="AD207" s="147" t="s">
        <v>458</v>
      </c>
      <c r="AE207" s="147" t="s">
        <v>458</v>
      </c>
      <c r="AF207" s="147" t="s">
        <v>458</v>
      </c>
      <c r="AG207" s="300" t="s">
        <v>458</v>
      </c>
      <c r="AH207" s="123" t="s">
        <v>458</v>
      </c>
      <c r="AI207" s="147" t="s">
        <v>458</v>
      </c>
      <c r="AJ207" s="165" t="s">
        <v>112</v>
      </c>
      <c r="AK207" s="144" t="s">
        <v>458</v>
      </c>
      <c r="AL207" s="144" t="s">
        <v>458</v>
      </c>
      <c r="AM207" s="144" t="s">
        <v>458</v>
      </c>
      <c r="AN207" s="53">
        <v>150</v>
      </c>
      <c r="AO207" s="165" t="s">
        <v>127</v>
      </c>
      <c r="AP207" s="147" t="s">
        <v>458</v>
      </c>
      <c r="AQ207" s="144" t="s">
        <v>458</v>
      </c>
      <c r="AR207" s="144" t="s">
        <v>458</v>
      </c>
      <c r="AS207" s="144" t="s">
        <v>458</v>
      </c>
      <c r="AT207" s="147" t="s">
        <v>458</v>
      </c>
      <c r="AU207" s="144" t="s">
        <v>458</v>
      </c>
    </row>
    <row r="208" spans="1:47" x14ac:dyDescent="0.2">
      <c r="A208" s="21">
        <v>19</v>
      </c>
      <c r="B208" s="29">
        <v>3</v>
      </c>
      <c r="C208" s="29" t="s">
        <v>78</v>
      </c>
      <c r="D208" s="41" t="s">
        <v>320</v>
      </c>
      <c r="E208" s="45" t="s">
        <v>133</v>
      </c>
      <c r="F208" s="45" t="s">
        <v>134</v>
      </c>
      <c r="G208" s="362" t="s">
        <v>479</v>
      </c>
      <c r="H208" s="362" t="s">
        <v>480</v>
      </c>
      <c r="I208" s="45">
        <f t="shared" si="3"/>
        <v>100</v>
      </c>
      <c r="J208" s="144" t="s">
        <v>111</v>
      </c>
      <c r="K208" s="168" t="s">
        <v>321</v>
      </c>
      <c r="L208" s="230" t="s">
        <v>379</v>
      </c>
      <c r="M208" s="53">
        <v>25</v>
      </c>
      <c r="N208" s="165" t="s">
        <v>458</v>
      </c>
      <c r="O208" s="165" t="s">
        <v>458</v>
      </c>
      <c r="P208" s="165">
        <v>0</v>
      </c>
      <c r="Q208" s="168" t="s">
        <v>458</v>
      </c>
      <c r="R208" s="165" t="s">
        <v>458</v>
      </c>
      <c r="S208" s="165">
        <v>0</v>
      </c>
      <c r="T208" s="53">
        <v>75</v>
      </c>
      <c r="U208" s="53" t="s">
        <v>458</v>
      </c>
      <c r="V208" s="53" t="s">
        <v>458</v>
      </c>
      <c r="W208" s="59" t="s">
        <v>458</v>
      </c>
      <c r="X208" s="147" t="s">
        <v>458</v>
      </c>
      <c r="Y208" s="147" t="s">
        <v>458</v>
      </c>
      <c r="Z208" s="147" t="s">
        <v>458</v>
      </c>
      <c r="AA208" s="59" t="s">
        <v>458</v>
      </c>
      <c r="AB208" s="147" t="s">
        <v>458</v>
      </c>
      <c r="AC208" s="147" t="s">
        <v>458</v>
      </c>
      <c r="AD208" s="147" t="s">
        <v>458</v>
      </c>
      <c r="AE208" s="147" t="s">
        <v>458</v>
      </c>
      <c r="AF208" s="147" t="s">
        <v>458</v>
      </c>
      <c r="AG208" s="300" t="s">
        <v>458</v>
      </c>
      <c r="AH208" s="123" t="s">
        <v>458</v>
      </c>
      <c r="AI208" s="147" t="s">
        <v>458</v>
      </c>
      <c r="AJ208" s="165" t="s">
        <v>112</v>
      </c>
      <c r="AK208" s="144" t="s">
        <v>458</v>
      </c>
      <c r="AL208" s="144" t="s">
        <v>458</v>
      </c>
      <c r="AM208" s="144" t="s">
        <v>458</v>
      </c>
      <c r="AN208" s="53">
        <v>150</v>
      </c>
      <c r="AO208" s="165" t="s">
        <v>127</v>
      </c>
      <c r="AP208" s="147" t="s">
        <v>458</v>
      </c>
      <c r="AQ208" s="144" t="s">
        <v>458</v>
      </c>
      <c r="AR208" s="144" t="s">
        <v>458</v>
      </c>
      <c r="AS208" s="144" t="s">
        <v>458</v>
      </c>
      <c r="AT208" s="147" t="s">
        <v>458</v>
      </c>
      <c r="AU208" s="144" t="s">
        <v>458</v>
      </c>
    </row>
    <row r="209" spans="1:47" x14ac:dyDescent="0.2">
      <c r="A209" s="21">
        <v>19</v>
      </c>
      <c r="B209" s="29">
        <v>4</v>
      </c>
      <c r="C209" s="29" t="s">
        <v>79</v>
      </c>
      <c r="D209" s="41" t="s">
        <v>33</v>
      </c>
      <c r="E209" s="45" t="s">
        <v>133</v>
      </c>
      <c r="F209" s="45" t="s">
        <v>134</v>
      </c>
      <c r="G209" s="362" t="s">
        <v>479</v>
      </c>
      <c r="H209" s="362" t="s">
        <v>480</v>
      </c>
      <c r="I209" s="45">
        <f t="shared" si="3"/>
        <v>100</v>
      </c>
      <c r="J209" s="165" t="s">
        <v>285</v>
      </c>
      <c r="K209" s="255" t="s">
        <v>458</v>
      </c>
      <c r="L209" s="255" t="s">
        <v>458</v>
      </c>
      <c r="M209" s="53">
        <v>0</v>
      </c>
      <c r="N209" s="165" t="s">
        <v>458</v>
      </c>
      <c r="O209" s="165" t="s">
        <v>458</v>
      </c>
      <c r="P209" s="165">
        <v>0</v>
      </c>
      <c r="Q209" s="168" t="s">
        <v>458</v>
      </c>
      <c r="R209" s="165" t="s">
        <v>458</v>
      </c>
      <c r="S209" s="165">
        <v>0</v>
      </c>
      <c r="T209" s="53">
        <v>100</v>
      </c>
      <c r="U209" s="53" t="s">
        <v>458</v>
      </c>
      <c r="V209" s="53" t="s">
        <v>458</v>
      </c>
      <c r="W209" s="59" t="s">
        <v>458</v>
      </c>
      <c r="X209" s="147" t="s">
        <v>458</v>
      </c>
      <c r="Y209" s="147" t="s">
        <v>458</v>
      </c>
      <c r="Z209" s="147" t="s">
        <v>458</v>
      </c>
      <c r="AA209" s="59" t="s">
        <v>458</v>
      </c>
      <c r="AB209" s="147" t="s">
        <v>458</v>
      </c>
      <c r="AC209" s="147" t="s">
        <v>458</v>
      </c>
      <c r="AD209" s="147" t="s">
        <v>458</v>
      </c>
      <c r="AE209" s="147" t="s">
        <v>458</v>
      </c>
      <c r="AF209" s="147" t="s">
        <v>458</v>
      </c>
      <c r="AG209" s="300" t="s">
        <v>458</v>
      </c>
      <c r="AH209" s="123" t="s">
        <v>458</v>
      </c>
      <c r="AI209" s="147" t="s">
        <v>458</v>
      </c>
      <c r="AJ209" s="165" t="s">
        <v>112</v>
      </c>
      <c r="AK209" s="144" t="s">
        <v>458</v>
      </c>
      <c r="AL209" s="144" t="s">
        <v>458</v>
      </c>
      <c r="AM209" s="144" t="s">
        <v>458</v>
      </c>
      <c r="AN209" s="53">
        <v>150</v>
      </c>
      <c r="AO209" s="165" t="s">
        <v>127</v>
      </c>
      <c r="AP209" s="147" t="s">
        <v>458</v>
      </c>
      <c r="AQ209" s="144" t="s">
        <v>458</v>
      </c>
      <c r="AR209" s="144" t="s">
        <v>458</v>
      </c>
      <c r="AS209" s="144" t="s">
        <v>458</v>
      </c>
      <c r="AT209" s="147" t="s">
        <v>458</v>
      </c>
      <c r="AU209" s="144" t="s">
        <v>458</v>
      </c>
    </row>
    <row r="210" spans="1:47" x14ac:dyDescent="0.2">
      <c r="A210" s="21">
        <v>19</v>
      </c>
      <c r="B210" s="29">
        <v>5</v>
      </c>
      <c r="C210" s="29" t="s">
        <v>80</v>
      </c>
      <c r="D210" s="41" t="s">
        <v>38</v>
      </c>
      <c r="E210" s="45" t="s">
        <v>133</v>
      </c>
      <c r="F210" s="45" t="s">
        <v>134</v>
      </c>
      <c r="G210" s="362" t="s">
        <v>479</v>
      </c>
      <c r="H210" s="362" t="s">
        <v>480</v>
      </c>
      <c r="I210" s="45">
        <f t="shared" si="3"/>
        <v>100</v>
      </c>
      <c r="J210" s="144" t="s">
        <v>111</v>
      </c>
      <c r="K210" s="168" t="s">
        <v>321</v>
      </c>
      <c r="L210" s="230" t="s">
        <v>379</v>
      </c>
      <c r="M210" s="53">
        <v>50</v>
      </c>
      <c r="N210" s="165" t="s">
        <v>458</v>
      </c>
      <c r="O210" s="165" t="s">
        <v>458</v>
      </c>
      <c r="P210" s="165">
        <v>0</v>
      </c>
      <c r="Q210" s="168" t="s">
        <v>458</v>
      </c>
      <c r="R210" s="165" t="s">
        <v>458</v>
      </c>
      <c r="S210" s="165">
        <v>0</v>
      </c>
      <c r="T210" s="53">
        <v>50</v>
      </c>
      <c r="U210" s="53" t="s">
        <v>458</v>
      </c>
      <c r="V210" s="53" t="s">
        <v>458</v>
      </c>
      <c r="W210" s="59" t="s">
        <v>458</v>
      </c>
      <c r="X210" s="147" t="s">
        <v>458</v>
      </c>
      <c r="Y210" s="147" t="s">
        <v>458</v>
      </c>
      <c r="Z210" s="147" t="s">
        <v>458</v>
      </c>
      <c r="AA210" s="59" t="s">
        <v>458</v>
      </c>
      <c r="AB210" s="147" t="s">
        <v>458</v>
      </c>
      <c r="AC210" s="147" t="s">
        <v>458</v>
      </c>
      <c r="AD210" s="147" t="s">
        <v>458</v>
      </c>
      <c r="AE210" s="147" t="s">
        <v>458</v>
      </c>
      <c r="AF210" s="147" t="s">
        <v>458</v>
      </c>
      <c r="AG210" s="300" t="s">
        <v>458</v>
      </c>
      <c r="AH210" s="123" t="s">
        <v>458</v>
      </c>
      <c r="AI210" s="147" t="s">
        <v>458</v>
      </c>
      <c r="AJ210" s="165" t="s">
        <v>112</v>
      </c>
      <c r="AK210" s="144" t="s">
        <v>458</v>
      </c>
      <c r="AL210" s="144" t="s">
        <v>458</v>
      </c>
      <c r="AM210" s="144" t="s">
        <v>458</v>
      </c>
      <c r="AN210" s="53">
        <v>800</v>
      </c>
      <c r="AO210" s="165" t="s">
        <v>127</v>
      </c>
      <c r="AP210" s="147" t="s">
        <v>458</v>
      </c>
      <c r="AQ210" s="144" t="s">
        <v>458</v>
      </c>
      <c r="AR210" s="144" t="s">
        <v>458</v>
      </c>
      <c r="AS210" s="144" t="s">
        <v>458</v>
      </c>
      <c r="AT210" s="147" t="s">
        <v>458</v>
      </c>
      <c r="AU210" s="144" t="s">
        <v>458</v>
      </c>
    </row>
    <row r="211" spans="1:47" x14ac:dyDescent="0.2">
      <c r="A211" s="21">
        <v>19</v>
      </c>
      <c r="B211" s="29">
        <v>6</v>
      </c>
      <c r="C211" s="29" t="s">
        <v>81</v>
      </c>
      <c r="D211" s="41" t="s">
        <v>320</v>
      </c>
      <c r="E211" s="45" t="s">
        <v>133</v>
      </c>
      <c r="F211" s="45" t="s">
        <v>134</v>
      </c>
      <c r="G211" s="362" t="s">
        <v>479</v>
      </c>
      <c r="H211" s="362" t="s">
        <v>480</v>
      </c>
      <c r="I211" s="45">
        <f t="shared" si="3"/>
        <v>100</v>
      </c>
      <c r="J211" s="144" t="s">
        <v>111</v>
      </c>
      <c r="K211" s="168" t="s">
        <v>321</v>
      </c>
      <c r="L211" s="230" t="s">
        <v>379</v>
      </c>
      <c r="M211" s="53">
        <v>25</v>
      </c>
      <c r="N211" s="165" t="s">
        <v>458</v>
      </c>
      <c r="O211" s="165" t="s">
        <v>458</v>
      </c>
      <c r="P211" s="165">
        <v>0</v>
      </c>
      <c r="Q211" s="168" t="s">
        <v>458</v>
      </c>
      <c r="R211" s="165" t="s">
        <v>458</v>
      </c>
      <c r="S211" s="165">
        <v>0</v>
      </c>
      <c r="T211" s="53">
        <v>75</v>
      </c>
      <c r="U211" s="53" t="s">
        <v>458</v>
      </c>
      <c r="V211" s="53" t="s">
        <v>458</v>
      </c>
      <c r="W211" s="59" t="s">
        <v>458</v>
      </c>
      <c r="X211" s="147" t="s">
        <v>458</v>
      </c>
      <c r="Y211" s="147" t="s">
        <v>458</v>
      </c>
      <c r="Z211" s="147" t="s">
        <v>458</v>
      </c>
      <c r="AA211" s="59" t="s">
        <v>458</v>
      </c>
      <c r="AB211" s="147" t="s">
        <v>458</v>
      </c>
      <c r="AC211" s="147" t="s">
        <v>458</v>
      </c>
      <c r="AD211" s="147" t="s">
        <v>458</v>
      </c>
      <c r="AE211" s="147" t="s">
        <v>458</v>
      </c>
      <c r="AF211" s="147" t="s">
        <v>458</v>
      </c>
      <c r="AG211" s="300" t="s">
        <v>458</v>
      </c>
      <c r="AH211" s="123" t="s">
        <v>458</v>
      </c>
      <c r="AI211" s="147" t="s">
        <v>458</v>
      </c>
      <c r="AJ211" s="165" t="s">
        <v>112</v>
      </c>
      <c r="AK211" s="144" t="s">
        <v>458</v>
      </c>
      <c r="AL211" s="144" t="s">
        <v>458</v>
      </c>
      <c r="AM211" s="144" t="s">
        <v>458</v>
      </c>
      <c r="AN211" s="53">
        <v>800</v>
      </c>
      <c r="AO211" s="165" t="s">
        <v>127</v>
      </c>
      <c r="AP211" s="147" t="s">
        <v>458</v>
      </c>
      <c r="AQ211" s="144" t="s">
        <v>458</v>
      </c>
      <c r="AR211" s="144" t="s">
        <v>458</v>
      </c>
      <c r="AS211" s="144" t="s">
        <v>458</v>
      </c>
      <c r="AT211" s="147" t="s">
        <v>458</v>
      </c>
      <c r="AU211" s="144" t="s">
        <v>458</v>
      </c>
    </row>
    <row r="212" spans="1:47" s="167" customFormat="1" x14ac:dyDescent="0.2">
      <c r="A212" s="276">
        <v>19</v>
      </c>
      <c r="B212" s="275">
        <v>7</v>
      </c>
      <c r="C212" s="275" t="s">
        <v>82</v>
      </c>
      <c r="D212" s="43" t="s">
        <v>33</v>
      </c>
      <c r="E212" s="208" t="s">
        <v>133</v>
      </c>
      <c r="F212" s="208" t="s">
        <v>134</v>
      </c>
      <c r="G212" s="363" t="s">
        <v>479</v>
      </c>
      <c r="H212" s="363" t="s">
        <v>480</v>
      </c>
      <c r="I212" s="46">
        <f t="shared" si="3"/>
        <v>100</v>
      </c>
      <c r="J212" s="43" t="s">
        <v>285</v>
      </c>
      <c r="K212" s="256" t="s">
        <v>458</v>
      </c>
      <c r="L212" s="256" t="s">
        <v>458</v>
      </c>
      <c r="M212" s="43">
        <v>0</v>
      </c>
      <c r="N212" s="166" t="s">
        <v>458</v>
      </c>
      <c r="O212" s="166" t="s">
        <v>458</v>
      </c>
      <c r="P212" s="166">
        <v>0</v>
      </c>
      <c r="Q212" s="169" t="s">
        <v>458</v>
      </c>
      <c r="R212" s="166" t="s">
        <v>458</v>
      </c>
      <c r="S212" s="166">
        <v>0</v>
      </c>
      <c r="T212" s="43">
        <v>100</v>
      </c>
      <c r="U212" s="54" t="s">
        <v>458</v>
      </c>
      <c r="V212" s="54" t="s">
        <v>458</v>
      </c>
      <c r="W212" s="60" t="s">
        <v>458</v>
      </c>
      <c r="X212" s="148" t="s">
        <v>458</v>
      </c>
      <c r="Y212" s="148" t="s">
        <v>458</v>
      </c>
      <c r="Z212" s="148" t="s">
        <v>458</v>
      </c>
      <c r="AA212" s="60" t="s">
        <v>458</v>
      </c>
      <c r="AB212" s="148" t="s">
        <v>458</v>
      </c>
      <c r="AC212" s="148" t="s">
        <v>458</v>
      </c>
      <c r="AD212" s="148" t="s">
        <v>458</v>
      </c>
      <c r="AE212" s="148" t="s">
        <v>458</v>
      </c>
      <c r="AF212" s="148" t="s">
        <v>458</v>
      </c>
      <c r="AG212" s="301" t="s">
        <v>458</v>
      </c>
      <c r="AH212" s="127" t="s">
        <v>458</v>
      </c>
      <c r="AI212" s="148" t="s">
        <v>458</v>
      </c>
      <c r="AJ212" s="166" t="s">
        <v>112</v>
      </c>
      <c r="AK212" s="145" t="s">
        <v>458</v>
      </c>
      <c r="AL212" s="145" t="s">
        <v>458</v>
      </c>
      <c r="AM212" s="145" t="s">
        <v>458</v>
      </c>
      <c r="AN212" s="54">
        <v>800</v>
      </c>
      <c r="AO212" s="166" t="s">
        <v>127</v>
      </c>
      <c r="AP212" s="148" t="s">
        <v>458</v>
      </c>
      <c r="AQ212" s="145" t="s">
        <v>458</v>
      </c>
      <c r="AR212" s="145" t="s">
        <v>458</v>
      </c>
      <c r="AS212" s="145" t="s">
        <v>458</v>
      </c>
      <c r="AT212" s="148" t="s">
        <v>458</v>
      </c>
      <c r="AU212" s="145" t="s">
        <v>458</v>
      </c>
    </row>
    <row r="213" spans="1:47" x14ac:dyDescent="0.2">
      <c r="A213" s="21">
        <v>20</v>
      </c>
      <c r="B213" s="29">
        <v>5</v>
      </c>
      <c r="C213" s="29" t="s">
        <v>62</v>
      </c>
      <c r="D213" s="41" t="s">
        <v>33</v>
      </c>
      <c r="E213" s="45" t="s">
        <v>133</v>
      </c>
      <c r="F213" s="45" t="s">
        <v>134</v>
      </c>
      <c r="G213" s="45">
        <v>95</v>
      </c>
      <c r="H213" s="45">
        <v>5</v>
      </c>
      <c r="I213" s="45">
        <f>(T214+M214+P214+S214)</f>
        <v>100</v>
      </c>
      <c r="J213" s="175" t="s">
        <v>285</v>
      </c>
      <c r="K213" s="177" t="s">
        <v>458</v>
      </c>
      <c r="L213" s="232" t="s">
        <v>458</v>
      </c>
      <c r="M213" s="53">
        <v>0</v>
      </c>
      <c r="N213" s="165" t="s">
        <v>458</v>
      </c>
      <c r="O213" s="165" t="s">
        <v>458</v>
      </c>
      <c r="P213" s="165">
        <v>0</v>
      </c>
      <c r="Q213" s="168" t="s">
        <v>458</v>
      </c>
      <c r="R213" s="165" t="s">
        <v>458</v>
      </c>
      <c r="S213" s="165">
        <v>0</v>
      </c>
      <c r="T213" s="53">
        <v>100</v>
      </c>
      <c r="U213" s="53" t="s">
        <v>458</v>
      </c>
      <c r="V213" s="53" t="s">
        <v>458</v>
      </c>
      <c r="W213" s="59">
        <v>400</v>
      </c>
      <c r="X213" s="147" t="s">
        <v>458</v>
      </c>
      <c r="Y213" s="147" t="s">
        <v>458</v>
      </c>
      <c r="Z213" s="147" t="s">
        <v>458</v>
      </c>
      <c r="AA213" s="147" t="s">
        <v>458</v>
      </c>
      <c r="AB213" s="147" t="s">
        <v>458</v>
      </c>
      <c r="AC213" s="147" t="s">
        <v>458</v>
      </c>
      <c r="AD213" s="147" t="s">
        <v>458</v>
      </c>
      <c r="AE213" s="147" t="s">
        <v>458</v>
      </c>
      <c r="AF213" s="147" t="s">
        <v>458</v>
      </c>
      <c r="AG213" s="302" t="s">
        <v>458</v>
      </c>
      <c r="AH213" s="147" t="s">
        <v>458</v>
      </c>
      <c r="AI213" s="147" t="s">
        <v>458</v>
      </c>
      <c r="AJ213" s="165" t="s">
        <v>112</v>
      </c>
      <c r="AK213" s="144" t="s">
        <v>458</v>
      </c>
      <c r="AL213" s="144" t="s">
        <v>458</v>
      </c>
      <c r="AM213" s="144" t="s">
        <v>458</v>
      </c>
      <c r="AN213" s="53">
        <v>1</v>
      </c>
      <c r="AO213" s="175" t="s">
        <v>110</v>
      </c>
      <c r="AP213" s="147" t="s">
        <v>458</v>
      </c>
      <c r="AQ213" s="144" t="s">
        <v>458</v>
      </c>
      <c r="AR213" s="144" t="s">
        <v>458</v>
      </c>
      <c r="AS213" s="144" t="s">
        <v>458</v>
      </c>
      <c r="AT213" s="147" t="s">
        <v>458</v>
      </c>
      <c r="AU213" s="144" t="s">
        <v>458</v>
      </c>
    </row>
    <row r="214" spans="1:47" x14ac:dyDescent="0.2">
      <c r="A214" s="21">
        <v>20</v>
      </c>
      <c r="B214" s="29">
        <v>6</v>
      </c>
      <c r="C214" s="29" t="s">
        <v>83</v>
      </c>
      <c r="D214" s="41" t="s">
        <v>34</v>
      </c>
      <c r="E214" s="45" t="s">
        <v>133</v>
      </c>
      <c r="F214" s="45" t="s">
        <v>134</v>
      </c>
      <c r="G214" s="45">
        <v>95</v>
      </c>
      <c r="H214" s="45">
        <v>5</v>
      </c>
      <c r="I214" s="45">
        <f t="shared" ref="I214:I218" si="4">(T215+M215+P215+S215)</f>
        <v>100</v>
      </c>
      <c r="J214" s="144" t="s">
        <v>111</v>
      </c>
      <c r="K214" s="177" t="s">
        <v>324</v>
      </c>
      <c r="L214" s="230" t="s">
        <v>379</v>
      </c>
      <c r="M214" s="53">
        <v>10</v>
      </c>
      <c r="N214" s="165" t="s">
        <v>458</v>
      </c>
      <c r="O214" s="165" t="s">
        <v>458</v>
      </c>
      <c r="P214" s="165">
        <v>0</v>
      </c>
      <c r="Q214" s="168" t="s">
        <v>458</v>
      </c>
      <c r="R214" s="165" t="s">
        <v>458</v>
      </c>
      <c r="S214" s="165">
        <v>0</v>
      </c>
      <c r="T214" s="53">
        <v>90</v>
      </c>
      <c r="U214" s="53" t="s">
        <v>458</v>
      </c>
      <c r="V214" s="53" t="s">
        <v>458</v>
      </c>
      <c r="W214" s="177" t="s">
        <v>458</v>
      </c>
      <c r="X214" s="147" t="s">
        <v>458</v>
      </c>
      <c r="Y214" s="147" t="s">
        <v>458</v>
      </c>
      <c r="Z214" s="147" t="s">
        <v>458</v>
      </c>
      <c r="AA214" s="147" t="s">
        <v>458</v>
      </c>
      <c r="AB214" s="147" t="s">
        <v>458</v>
      </c>
      <c r="AC214" s="147" t="s">
        <v>458</v>
      </c>
      <c r="AD214" s="147" t="s">
        <v>458</v>
      </c>
      <c r="AE214" s="147" t="s">
        <v>458</v>
      </c>
      <c r="AF214" s="147" t="s">
        <v>458</v>
      </c>
      <c r="AG214" s="302" t="s">
        <v>458</v>
      </c>
      <c r="AH214" s="147" t="s">
        <v>458</v>
      </c>
      <c r="AI214" s="147" t="s">
        <v>458</v>
      </c>
      <c r="AJ214" s="165" t="s">
        <v>112</v>
      </c>
      <c r="AK214" s="144" t="s">
        <v>458</v>
      </c>
      <c r="AL214" s="144" t="s">
        <v>458</v>
      </c>
      <c r="AM214" s="144" t="s">
        <v>458</v>
      </c>
      <c r="AN214" s="53">
        <v>1</v>
      </c>
      <c r="AO214" s="175" t="s">
        <v>110</v>
      </c>
      <c r="AP214" s="147" t="s">
        <v>458</v>
      </c>
      <c r="AQ214" s="144" t="s">
        <v>458</v>
      </c>
      <c r="AR214" s="144" t="s">
        <v>458</v>
      </c>
      <c r="AS214" s="144" t="s">
        <v>458</v>
      </c>
      <c r="AT214" s="147" t="s">
        <v>458</v>
      </c>
      <c r="AU214" s="144" t="s">
        <v>458</v>
      </c>
    </row>
    <row r="215" spans="1:47" x14ac:dyDescent="0.2">
      <c r="A215" s="21">
        <v>20</v>
      </c>
      <c r="B215" s="29">
        <v>7</v>
      </c>
      <c r="C215" s="29" t="s">
        <v>84</v>
      </c>
      <c r="D215" s="41" t="s">
        <v>35</v>
      </c>
      <c r="E215" s="45" t="s">
        <v>133</v>
      </c>
      <c r="F215" s="45" t="s">
        <v>134</v>
      </c>
      <c r="G215" s="45">
        <v>95</v>
      </c>
      <c r="H215" s="45">
        <v>5</v>
      </c>
      <c r="I215" s="45">
        <f t="shared" si="4"/>
        <v>100</v>
      </c>
      <c r="J215" s="144" t="s">
        <v>111</v>
      </c>
      <c r="K215" s="177" t="s">
        <v>324</v>
      </c>
      <c r="L215" s="230" t="s">
        <v>379</v>
      </c>
      <c r="M215" s="53">
        <v>20</v>
      </c>
      <c r="N215" s="165" t="s">
        <v>458</v>
      </c>
      <c r="O215" s="165" t="s">
        <v>458</v>
      </c>
      <c r="P215" s="165">
        <v>0</v>
      </c>
      <c r="Q215" s="168" t="s">
        <v>458</v>
      </c>
      <c r="R215" s="165" t="s">
        <v>458</v>
      </c>
      <c r="S215" s="165">
        <v>0</v>
      </c>
      <c r="T215" s="53">
        <v>80</v>
      </c>
      <c r="U215" s="53" t="s">
        <v>458</v>
      </c>
      <c r="V215" s="53" t="s">
        <v>458</v>
      </c>
      <c r="W215" s="177" t="s">
        <v>458</v>
      </c>
      <c r="X215" s="147" t="s">
        <v>458</v>
      </c>
      <c r="Y215" s="147" t="s">
        <v>458</v>
      </c>
      <c r="Z215" s="147" t="s">
        <v>458</v>
      </c>
      <c r="AA215" s="147" t="s">
        <v>458</v>
      </c>
      <c r="AB215" s="147" t="s">
        <v>458</v>
      </c>
      <c r="AC215" s="147" t="s">
        <v>458</v>
      </c>
      <c r="AD215" s="147" t="s">
        <v>458</v>
      </c>
      <c r="AE215" s="147" t="s">
        <v>458</v>
      </c>
      <c r="AF215" s="147" t="s">
        <v>458</v>
      </c>
      <c r="AG215" s="302" t="s">
        <v>458</v>
      </c>
      <c r="AH215" s="147" t="s">
        <v>458</v>
      </c>
      <c r="AI215" s="147" t="s">
        <v>458</v>
      </c>
      <c r="AJ215" s="165" t="s">
        <v>112</v>
      </c>
      <c r="AK215" s="144" t="s">
        <v>458</v>
      </c>
      <c r="AL215" s="144" t="s">
        <v>458</v>
      </c>
      <c r="AM215" s="144" t="s">
        <v>458</v>
      </c>
      <c r="AN215" s="53">
        <v>1</v>
      </c>
      <c r="AO215" s="175" t="s">
        <v>110</v>
      </c>
      <c r="AP215" s="147" t="s">
        <v>458</v>
      </c>
      <c r="AQ215" s="144" t="s">
        <v>458</v>
      </c>
      <c r="AR215" s="144" t="s">
        <v>458</v>
      </c>
      <c r="AS215" s="144" t="s">
        <v>458</v>
      </c>
      <c r="AT215" s="147" t="s">
        <v>458</v>
      </c>
      <c r="AU215" s="144" t="s">
        <v>458</v>
      </c>
    </row>
    <row r="216" spans="1:47" x14ac:dyDescent="0.2">
      <c r="A216" s="21">
        <v>20</v>
      </c>
      <c r="B216" s="29">
        <v>8</v>
      </c>
      <c r="C216" s="29" t="s">
        <v>85</v>
      </c>
      <c r="D216" s="41" t="s">
        <v>36</v>
      </c>
      <c r="E216" s="45" t="s">
        <v>133</v>
      </c>
      <c r="F216" s="45" t="s">
        <v>134</v>
      </c>
      <c r="G216" s="45">
        <v>95</v>
      </c>
      <c r="H216" s="45">
        <v>5</v>
      </c>
      <c r="I216" s="45">
        <f t="shared" si="4"/>
        <v>100</v>
      </c>
      <c r="J216" s="144" t="s">
        <v>111</v>
      </c>
      <c r="K216" s="177" t="s">
        <v>324</v>
      </c>
      <c r="L216" s="230" t="s">
        <v>379</v>
      </c>
      <c r="M216" s="53">
        <v>30</v>
      </c>
      <c r="N216" s="165" t="s">
        <v>458</v>
      </c>
      <c r="O216" s="165" t="s">
        <v>458</v>
      </c>
      <c r="P216" s="165">
        <v>0</v>
      </c>
      <c r="Q216" s="168" t="s">
        <v>458</v>
      </c>
      <c r="R216" s="165" t="s">
        <v>458</v>
      </c>
      <c r="S216" s="165">
        <v>0</v>
      </c>
      <c r="T216" s="53">
        <v>70</v>
      </c>
      <c r="U216" s="53" t="s">
        <v>458</v>
      </c>
      <c r="V216" s="53" t="s">
        <v>458</v>
      </c>
      <c r="W216" s="177" t="s">
        <v>458</v>
      </c>
      <c r="X216" s="147" t="s">
        <v>458</v>
      </c>
      <c r="Y216" s="147" t="s">
        <v>458</v>
      </c>
      <c r="Z216" s="147" t="s">
        <v>458</v>
      </c>
      <c r="AA216" s="147" t="s">
        <v>458</v>
      </c>
      <c r="AB216" s="147" t="s">
        <v>458</v>
      </c>
      <c r="AC216" s="147" t="s">
        <v>458</v>
      </c>
      <c r="AD216" s="147" t="s">
        <v>458</v>
      </c>
      <c r="AE216" s="147" t="s">
        <v>458</v>
      </c>
      <c r="AF216" s="147" t="s">
        <v>458</v>
      </c>
      <c r="AG216" s="302" t="s">
        <v>458</v>
      </c>
      <c r="AH216" s="147" t="s">
        <v>458</v>
      </c>
      <c r="AI216" s="147" t="s">
        <v>458</v>
      </c>
      <c r="AJ216" s="165" t="s">
        <v>112</v>
      </c>
      <c r="AK216" s="144" t="s">
        <v>458</v>
      </c>
      <c r="AL216" s="144" t="s">
        <v>458</v>
      </c>
      <c r="AM216" s="144" t="s">
        <v>458</v>
      </c>
      <c r="AN216" s="53">
        <v>1</v>
      </c>
      <c r="AO216" s="175" t="s">
        <v>110</v>
      </c>
      <c r="AP216" s="147" t="s">
        <v>458</v>
      </c>
      <c r="AQ216" s="144" t="s">
        <v>458</v>
      </c>
      <c r="AR216" s="144" t="s">
        <v>458</v>
      </c>
      <c r="AS216" s="144" t="s">
        <v>458</v>
      </c>
      <c r="AT216" s="147" t="s">
        <v>458</v>
      </c>
      <c r="AU216" s="144" t="s">
        <v>458</v>
      </c>
    </row>
    <row r="217" spans="1:47" ht="14.25" customHeight="1" x14ac:dyDescent="0.2">
      <c r="A217" s="21">
        <v>20</v>
      </c>
      <c r="B217" s="29">
        <v>9</v>
      </c>
      <c r="C217" s="29" t="s">
        <v>62</v>
      </c>
      <c r="D217" s="41" t="s">
        <v>33</v>
      </c>
      <c r="E217" s="45" t="s">
        <v>133</v>
      </c>
      <c r="F217" s="45" t="s">
        <v>134</v>
      </c>
      <c r="G217" s="45">
        <v>95</v>
      </c>
      <c r="H217" s="45">
        <v>5</v>
      </c>
      <c r="I217" s="45">
        <f t="shared" si="4"/>
        <v>100</v>
      </c>
      <c r="J217" s="175" t="s">
        <v>285</v>
      </c>
      <c r="K217" s="177" t="s">
        <v>458</v>
      </c>
      <c r="L217" s="232" t="s">
        <v>458</v>
      </c>
      <c r="M217" s="53">
        <v>0</v>
      </c>
      <c r="N217" s="165" t="s">
        <v>458</v>
      </c>
      <c r="O217" s="165" t="s">
        <v>458</v>
      </c>
      <c r="P217" s="165">
        <v>0</v>
      </c>
      <c r="Q217" s="168" t="s">
        <v>458</v>
      </c>
      <c r="R217" s="165" t="s">
        <v>458</v>
      </c>
      <c r="S217" s="165">
        <v>0</v>
      </c>
      <c r="T217" s="175">
        <v>100</v>
      </c>
      <c r="U217" s="53" t="s">
        <v>458</v>
      </c>
      <c r="V217" s="53" t="s">
        <v>458</v>
      </c>
      <c r="W217" s="59">
        <v>400</v>
      </c>
      <c r="X217" s="147" t="s">
        <v>458</v>
      </c>
      <c r="Y217" s="147" t="s">
        <v>458</v>
      </c>
      <c r="Z217" s="147" t="s">
        <v>458</v>
      </c>
      <c r="AA217" s="147" t="s">
        <v>458</v>
      </c>
      <c r="AB217" s="147" t="s">
        <v>458</v>
      </c>
      <c r="AC217" s="147" t="s">
        <v>458</v>
      </c>
      <c r="AD217" s="147" t="s">
        <v>458</v>
      </c>
      <c r="AE217" s="147" t="s">
        <v>458</v>
      </c>
      <c r="AF217" s="147" t="s">
        <v>458</v>
      </c>
      <c r="AG217" s="302" t="s">
        <v>458</v>
      </c>
      <c r="AH217" s="147" t="s">
        <v>458</v>
      </c>
      <c r="AI217" s="147" t="s">
        <v>458</v>
      </c>
      <c r="AJ217" s="165" t="s">
        <v>112</v>
      </c>
      <c r="AK217" s="144" t="s">
        <v>458</v>
      </c>
      <c r="AL217" s="144" t="s">
        <v>458</v>
      </c>
      <c r="AM217" s="144" t="s">
        <v>458</v>
      </c>
      <c r="AN217" s="53">
        <v>1</v>
      </c>
      <c r="AO217" s="175" t="s">
        <v>110</v>
      </c>
      <c r="AP217" s="147" t="s">
        <v>458</v>
      </c>
      <c r="AQ217" s="144" t="s">
        <v>458</v>
      </c>
      <c r="AR217" s="144" t="s">
        <v>458</v>
      </c>
      <c r="AS217" s="144" t="s">
        <v>458</v>
      </c>
      <c r="AT217" s="147" t="s">
        <v>458</v>
      </c>
      <c r="AU217" s="144" t="s">
        <v>458</v>
      </c>
    </row>
    <row r="218" spans="1:47" s="18" customFormat="1" x14ac:dyDescent="0.2">
      <c r="A218" s="23">
        <v>20</v>
      </c>
      <c r="B218" s="30">
        <v>10</v>
      </c>
      <c r="C218" s="30" t="s">
        <v>85</v>
      </c>
      <c r="D218" s="43" t="s">
        <v>36</v>
      </c>
      <c r="E218" s="46" t="s">
        <v>133</v>
      </c>
      <c r="F218" s="46" t="s">
        <v>134</v>
      </c>
      <c r="G218" s="46">
        <v>95</v>
      </c>
      <c r="H218" s="46">
        <v>5</v>
      </c>
      <c r="I218" s="46">
        <f t="shared" si="4"/>
        <v>100</v>
      </c>
      <c r="J218" s="145" t="s">
        <v>111</v>
      </c>
      <c r="K218" s="178" t="s">
        <v>324</v>
      </c>
      <c r="L218" s="231" t="s">
        <v>379</v>
      </c>
      <c r="M218" s="54">
        <v>30</v>
      </c>
      <c r="N218" s="166" t="s">
        <v>458</v>
      </c>
      <c r="O218" s="166" t="s">
        <v>458</v>
      </c>
      <c r="P218" s="165">
        <v>0</v>
      </c>
      <c r="Q218" s="169" t="s">
        <v>458</v>
      </c>
      <c r="R218" s="166" t="s">
        <v>458</v>
      </c>
      <c r="S218" s="165">
        <v>0</v>
      </c>
      <c r="T218" s="54">
        <v>70</v>
      </c>
      <c r="U218" s="54" t="s">
        <v>458</v>
      </c>
      <c r="V218" s="54" t="s">
        <v>458</v>
      </c>
      <c r="W218" s="178" t="s">
        <v>458</v>
      </c>
      <c r="X218" s="148" t="s">
        <v>458</v>
      </c>
      <c r="Y218" s="148" t="s">
        <v>458</v>
      </c>
      <c r="Z218" s="148" t="s">
        <v>458</v>
      </c>
      <c r="AA218" s="148" t="s">
        <v>458</v>
      </c>
      <c r="AB218" s="148" t="s">
        <v>458</v>
      </c>
      <c r="AC218" s="148" t="s">
        <v>458</v>
      </c>
      <c r="AD218" s="148" t="s">
        <v>458</v>
      </c>
      <c r="AE218" s="148" t="s">
        <v>458</v>
      </c>
      <c r="AF218" s="148" t="s">
        <v>458</v>
      </c>
      <c r="AG218" s="303" t="s">
        <v>458</v>
      </c>
      <c r="AH218" s="148" t="s">
        <v>458</v>
      </c>
      <c r="AI218" s="148" t="s">
        <v>458</v>
      </c>
      <c r="AJ218" s="166" t="s">
        <v>112</v>
      </c>
      <c r="AK218" s="145" t="s">
        <v>458</v>
      </c>
      <c r="AL218" s="145" t="s">
        <v>458</v>
      </c>
      <c r="AM218" s="145" t="s">
        <v>458</v>
      </c>
      <c r="AN218" s="54">
        <v>1</v>
      </c>
      <c r="AO218" s="176" t="s">
        <v>110</v>
      </c>
      <c r="AP218" s="148" t="s">
        <v>458</v>
      </c>
      <c r="AQ218" s="145" t="s">
        <v>458</v>
      </c>
      <c r="AR218" s="145" t="s">
        <v>458</v>
      </c>
      <c r="AS218" s="145" t="s">
        <v>458</v>
      </c>
      <c r="AT218" s="148" t="s">
        <v>458</v>
      </c>
      <c r="AU218" s="145" t="s">
        <v>458</v>
      </c>
    </row>
    <row r="219" spans="1:47" ht="32" x14ac:dyDescent="0.2">
      <c r="A219" s="21">
        <v>21</v>
      </c>
      <c r="B219" s="29">
        <v>1</v>
      </c>
      <c r="C219" s="29" t="s">
        <v>29</v>
      </c>
      <c r="D219" s="41" t="s">
        <v>33</v>
      </c>
      <c r="E219" s="45" t="s">
        <v>133</v>
      </c>
      <c r="F219" s="45" t="s">
        <v>134</v>
      </c>
      <c r="G219" s="45">
        <v>97</v>
      </c>
      <c r="H219" s="45">
        <v>3</v>
      </c>
      <c r="I219" s="45">
        <f t="shared" si="3"/>
        <v>100</v>
      </c>
      <c r="J219" s="175" t="s">
        <v>108</v>
      </c>
      <c r="K219" s="177" t="s">
        <v>458</v>
      </c>
      <c r="L219" s="232" t="s">
        <v>458</v>
      </c>
      <c r="M219" s="53">
        <v>0</v>
      </c>
      <c r="N219" s="310" t="s">
        <v>458</v>
      </c>
      <c r="O219" s="165" t="s">
        <v>458</v>
      </c>
      <c r="P219" s="165">
        <v>0</v>
      </c>
      <c r="Q219" s="168" t="s">
        <v>458</v>
      </c>
      <c r="R219" s="165" t="s">
        <v>458</v>
      </c>
      <c r="S219" s="165">
        <v>0</v>
      </c>
      <c r="T219" s="53">
        <v>100</v>
      </c>
      <c r="U219" s="53" t="s">
        <v>458</v>
      </c>
      <c r="V219" s="53" t="s">
        <v>458</v>
      </c>
      <c r="W219" s="59" t="s">
        <v>458</v>
      </c>
      <c r="X219" s="59" t="s">
        <v>458</v>
      </c>
      <c r="Y219" s="59" t="s">
        <v>458</v>
      </c>
      <c r="Z219" s="59" t="s">
        <v>458</v>
      </c>
      <c r="AA219" s="59" t="s">
        <v>458</v>
      </c>
      <c r="AB219" s="59" t="s">
        <v>458</v>
      </c>
      <c r="AC219" s="59" t="s">
        <v>458</v>
      </c>
      <c r="AD219" s="59" t="s">
        <v>458</v>
      </c>
      <c r="AE219" s="59" t="s">
        <v>458</v>
      </c>
      <c r="AF219" s="59" t="s">
        <v>458</v>
      </c>
      <c r="AG219" s="302" t="s">
        <v>458</v>
      </c>
      <c r="AH219" s="147" t="s">
        <v>458</v>
      </c>
      <c r="AI219" s="147" t="s">
        <v>458</v>
      </c>
      <c r="AJ219" s="195" t="s">
        <v>332</v>
      </c>
      <c r="AK219" s="144" t="s">
        <v>458</v>
      </c>
      <c r="AL219" s="144" t="s">
        <v>458</v>
      </c>
      <c r="AM219" s="144" t="s">
        <v>458</v>
      </c>
      <c r="AN219" s="195" t="s">
        <v>333</v>
      </c>
      <c r="AO219" s="175" t="s">
        <v>110</v>
      </c>
      <c r="AP219" s="147" t="s">
        <v>458</v>
      </c>
      <c r="AQ219" s="144" t="s">
        <v>458</v>
      </c>
      <c r="AR219" s="144" t="s">
        <v>458</v>
      </c>
      <c r="AS219" s="144" t="s">
        <v>458</v>
      </c>
      <c r="AT219" s="147" t="s">
        <v>458</v>
      </c>
      <c r="AU219" s="144" t="s">
        <v>458</v>
      </c>
    </row>
    <row r="220" spans="1:47" ht="32" x14ac:dyDescent="0.2">
      <c r="A220" s="21">
        <v>21</v>
      </c>
      <c r="B220" s="29">
        <v>2</v>
      </c>
      <c r="C220" s="29" t="s">
        <v>86</v>
      </c>
      <c r="D220" s="41" t="s">
        <v>328</v>
      </c>
      <c r="E220" s="45" t="s">
        <v>133</v>
      </c>
      <c r="F220" s="45" t="s">
        <v>134</v>
      </c>
      <c r="G220" s="45">
        <v>97</v>
      </c>
      <c r="H220" s="45">
        <v>3</v>
      </c>
      <c r="I220" s="45">
        <f t="shared" si="3"/>
        <v>100</v>
      </c>
      <c r="J220" s="144" t="s">
        <v>111</v>
      </c>
      <c r="K220" s="177" t="s">
        <v>331</v>
      </c>
      <c r="L220" s="230" t="s">
        <v>379</v>
      </c>
      <c r="M220" s="53">
        <v>3</v>
      </c>
      <c r="N220" s="310" t="s">
        <v>458</v>
      </c>
      <c r="O220" s="165" t="s">
        <v>458</v>
      </c>
      <c r="P220" s="165">
        <v>0</v>
      </c>
      <c r="Q220" s="168" t="s">
        <v>458</v>
      </c>
      <c r="R220" s="165" t="s">
        <v>458</v>
      </c>
      <c r="S220" s="165">
        <v>0</v>
      </c>
      <c r="T220" s="53">
        <v>97</v>
      </c>
      <c r="U220" s="53" t="s">
        <v>458</v>
      </c>
      <c r="V220" s="53" t="s">
        <v>458</v>
      </c>
      <c r="W220" s="59" t="s">
        <v>458</v>
      </c>
      <c r="X220" s="59" t="s">
        <v>458</v>
      </c>
      <c r="Y220" s="59" t="s">
        <v>458</v>
      </c>
      <c r="Z220" s="59" t="s">
        <v>458</v>
      </c>
      <c r="AA220" s="59" t="s">
        <v>458</v>
      </c>
      <c r="AB220" s="59" t="s">
        <v>458</v>
      </c>
      <c r="AC220" s="59" t="s">
        <v>458</v>
      </c>
      <c r="AD220" s="59" t="s">
        <v>458</v>
      </c>
      <c r="AE220" s="59" t="s">
        <v>458</v>
      </c>
      <c r="AF220" s="59" t="s">
        <v>458</v>
      </c>
      <c r="AG220" s="302" t="s">
        <v>458</v>
      </c>
      <c r="AH220" s="147" t="s">
        <v>458</v>
      </c>
      <c r="AI220" s="147" t="s">
        <v>458</v>
      </c>
      <c r="AJ220" s="195" t="s">
        <v>332</v>
      </c>
      <c r="AK220" s="144" t="s">
        <v>458</v>
      </c>
      <c r="AL220" s="144" t="s">
        <v>458</v>
      </c>
      <c r="AM220" s="144" t="s">
        <v>458</v>
      </c>
      <c r="AN220" s="195" t="s">
        <v>333</v>
      </c>
      <c r="AO220" s="175" t="s">
        <v>110</v>
      </c>
      <c r="AP220" s="147" t="s">
        <v>458</v>
      </c>
      <c r="AQ220" s="144" t="s">
        <v>458</v>
      </c>
      <c r="AR220" s="144" t="s">
        <v>458</v>
      </c>
      <c r="AS220" s="144" t="s">
        <v>458</v>
      </c>
      <c r="AT220" s="147" t="s">
        <v>458</v>
      </c>
      <c r="AU220" s="144" t="s">
        <v>458</v>
      </c>
    </row>
    <row r="221" spans="1:47" ht="32" x14ac:dyDescent="0.2">
      <c r="A221" s="21">
        <v>21</v>
      </c>
      <c r="B221" s="29">
        <v>3</v>
      </c>
      <c r="C221" s="29" t="s">
        <v>87</v>
      </c>
      <c r="D221" s="41" t="s">
        <v>34</v>
      </c>
      <c r="E221" s="45" t="s">
        <v>133</v>
      </c>
      <c r="F221" s="45" t="s">
        <v>134</v>
      </c>
      <c r="G221" s="45">
        <v>97</v>
      </c>
      <c r="H221" s="45">
        <v>3</v>
      </c>
      <c r="I221" s="45">
        <f t="shared" si="3"/>
        <v>100</v>
      </c>
      <c r="J221" s="144" t="s">
        <v>111</v>
      </c>
      <c r="K221" s="177" t="s">
        <v>331</v>
      </c>
      <c r="L221" s="230" t="s">
        <v>379</v>
      </c>
      <c r="M221" s="53">
        <v>10</v>
      </c>
      <c r="N221" s="310" t="s">
        <v>458</v>
      </c>
      <c r="O221" s="165" t="s">
        <v>458</v>
      </c>
      <c r="P221" s="165">
        <v>0</v>
      </c>
      <c r="Q221" s="168" t="s">
        <v>458</v>
      </c>
      <c r="R221" s="165" t="s">
        <v>458</v>
      </c>
      <c r="S221" s="165">
        <v>0</v>
      </c>
      <c r="T221" s="53">
        <v>90</v>
      </c>
      <c r="U221" s="53" t="s">
        <v>458</v>
      </c>
      <c r="V221" s="53" t="s">
        <v>458</v>
      </c>
      <c r="W221" s="59" t="s">
        <v>458</v>
      </c>
      <c r="X221" s="59" t="s">
        <v>458</v>
      </c>
      <c r="Y221" s="59" t="s">
        <v>458</v>
      </c>
      <c r="Z221" s="59" t="s">
        <v>458</v>
      </c>
      <c r="AA221" s="59" t="s">
        <v>458</v>
      </c>
      <c r="AB221" s="59" t="s">
        <v>458</v>
      </c>
      <c r="AC221" s="59" t="s">
        <v>458</v>
      </c>
      <c r="AD221" s="59" t="s">
        <v>458</v>
      </c>
      <c r="AE221" s="59" t="s">
        <v>458</v>
      </c>
      <c r="AF221" s="59" t="s">
        <v>458</v>
      </c>
      <c r="AG221" s="302" t="s">
        <v>458</v>
      </c>
      <c r="AH221" s="147" t="s">
        <v>458</v>
      </c>
      <c r="AI221" s="147" t="s">
        <v>458</v>
      </c>
      <c r="AJ221" s="195" t="s">
        <v>332</v>
      </c>
      <c r="AK221" s="144" t="s">
        <v>458</v>
      </c>
      <c r="AL221" s="144" t="s">
        <v>458</v>
      </c>
      <c r="AM221" s="144" t="s">
        <v>458</v>
      </c>
      <c r="AN221" s="195" t="s">
        <v>333</v>
      </c>
      <c r="AO221" s="175" t="s">
        <v>110</v>
      </c>
      <c r="AP221" s="147" t="s">
        <v>458</v>
      </c>
      <c r="AQ221" s="144" t="s">
        <v>458</v>
      </c>
      <c r="AR221" s="144" t="s">
        <v>458</v>
      </c>
      <c r="AS221" s="144" t="s">
        <v>458</v>
      </c>
      <c r="AT221" s="147" t="s">
        <v>458</v>
      </c>
      <c r="AU221" s="144" t="s">
        <v>458</v>
      </c>
    </row>
    <row r="222" spans="1:47" ht="32" x14ac:dyDescent="0.2">
      <c r="A222" s="21">
        <v>21</v>
      </c>
      <c r="B222" s="29">
        <v>4</v>
      </c>
      <c r="C222" s="29" t="s">
        <v>88</v>
      </c>
      <c r="D222" s="41" t="s">
        <v>320</v>
      </c>
      <c r="E222" s="45" t="s">
        <v>133</v>
      </c>
      <c r="F222" s="45" t="s">
        <v>134</v>
      </c>
      <c r="G222" s="45">
        <v>97</v>
      </c>
      <c r="H222" s="45">
        <v>3</v>
      </c>
      <c r="I222" s="45">
        <f t="shared" si="3"/>
        <v>100</v>
      </c>
      <c r="J222" s="144" t="s">
        <v>111</v>
      </c>
      <c r="K222" s="177" t="s">
        <v>331</v>
      </c>
      <c r="L222" s="230" t="s">
        <v>379</v>
      </c>
      <c r="M222" s="53">
        <v>25</v>
      </c>
      <c r="N222" s="310" t="s">
        <v>458</v>
      </c>
      <c r="O222" s="165" t="s">
        <v>458</v>
      </c>
      <c r="P222" s="165">
        <v>0</v>
      </c>
      <c r="Q222" s="168" t="s">
        <v>458</v>
      </c>
      <c r="R222" s="165" t="s">
        <v>458</v>
      </c>
      <c r="S222" s="165">
        <v>0</v>
      </c>
      <c r="T222" s="53">
        <v>75</v>
      </c>
      <c r="U222" s="53" t="s">
        <v>458</v>
      </c>
      <c r="V222" s="53" t="s">
        <v>458</v>
      </c>
      <c r="W222" s="59" t="s">
        <v>458</v>
      </c>
      <c r="X222" s="59" t="s">
        <v>458</v>
      </c>
      <c r="Y222" s="59" t="s">
        <v>458</v>
      </c>
      <c r="Z222" s="59" t="s">
        <v>458</v>
      </c>
      <c r="AA222" s="59" t="s">
        <v>458</v>
      </c>
      <c r="AB222" s="59" t="s">
        <v>458</v>
      </c>
      <c r="AC222" s="59" t="s">
        <v>458</v>
      </c>
      <c r="AD222" s="59" t="s">
        <v>458</v>
      </c>
      <c r="AE222" s="59" t="s">
        <v>458</v>
      </c>
      <c r="AF222" s="59" t="s">
        <v>458</v>
      </c>
      <c r="AG222" s="302" t="s">
        <v>458</v>
      </c>
      <c r="AH222" s="147" t="s">
        <v>458</v>
      </c>
      <c r="AI222" s="147" t="s">
        <v>458</v>
      </c>
      <c r="AJ222" s="195" t="s">
        <v>332</v>
      </c>
      <c r="AK222" s="144" t="s">
        <v>458</v>
      </c>
      <c r="AL222" s="144" t="s">
        <v>458</v>
      </c>
      <c r="AM222" s="144" t="s">
        <v>458</v>
      </c>
      <c r="AN222" s="195" t="s">
        <v>333</v>
      </c>
      <c r="AO222" s="175" t="s">
        <v>110</v>
      </c>
      <c r="AP222" s="147" t="s">
        <v>458</v>
      </c>
      <c r="AQ222" s="144" t="s">
        <v>458</v>
      </c>
      <c r="AR222" s="144" t="s">
        <v>458</v>
      </c>
      <c r="AS222" s="144" t="s">
        <v>458</v>
      </c>
      <c r="AT222" s="147" t="s">
        <v>458</v>
      </c>
      <c r="AU222" s="144" t="s">
        <v>458</v>
      </c>
    </row>
    <row r="223" spans="1:47" s="18" customFormat="1" ht="32" x14ac:dyDescent="0.2">
      <c r="A223" s="23">
        <v>21</v>
      </c>
      <c r="B223" s="30">
        <v>5</v>
      </c>
      <c r="C223" s="30" t="s">
        <v>89</v>
      </c>
      <c r="D223" s="43" t="s">
        <v>329</v>
      </c>
      <c r="E223" s="46" t="s">
        <v>133</v>
      </c>
      <c r="F223" s="46" t="s">
        <v>134</v>
      </c>
      <c r="G223" s="46">
        <v>97</v>
      </c>
      <c r="H223" s="46">
        <v>3</v>
      </c>
      <c r="I223" s="46">
        <f t="shared" si="3"/>
        <v>100</v>
      </c>
      <c r="J223" s="145" t="s">
        <v>111</v>
      </c>
      <c r="K223" s="178" t="s">
        <v>331</v>
      </c>
      <c r="L223" s="231" t="s">
        <v>379</v>
      </c>
      <c r="M223" s="54">
        <v>45</v>
      </c>
      <c r="N223" s="311" t="s">
        <v>458</v>
      </c>
      <c r="O223" s="166" t="s">
        <v>458</v>
      </c>
      <c r="P223" s="166">
        <v>0</v>
      </c>
      <c r="Q223" s="169" t="s">
        <v>458</v>
      </c>
      <c r="R223" s="166" t="s">
        <v>458</v>
      </c>
      <c r="S223" s="166">
        <v>0</v>
      </c>
      <c r="T223" s="54">
        <v>55</v>
      </c>
      <c r="U223" s="54" t="s">
        <v>458</v>
      </c>
      <c r="V223" s="54" t="s">
        <v>458</v>
      </c>
      <c r="W223" s="60" t="s">
        <v>458</v>
      </c>
      <c r="X223" s="60" t="s">
        <v>458</v>
      </c>
      <c r="Y223" s="60" t="s">
        <v>458</v>
      </c>
      <c r="Z223" s="60" t="s">
        <v>458</v>
      </c>
      <c r="AA223" s="60" t="s">
        <v>458</v>
      </c>
      <c r="AB223" s="60" t="s">
        <v>458</v>
      </c>
      <c r="AC223" s="60" t="s">
        <v>458</v>
      </c>
      <c r="AD223" s="60" t="s">
        <v>458</v>
      </c>
      <c r="AE223" s="60" t="s">
        <v>458</v>
      </c>
      <c r="AF223" s="60" t="s">
        <v>458</v>
      </c>
      <c r="AG223" s="303" t="s">
        <v>458</v>
      </c>
      <c r="AH223" s="148" t="s">
        <v>458</v>
      </c>
      <c r="AI223" s="148" t="s">
        <v>458</v>
      </c>
      <c r="AJ223" s="196" t="s">
        <v>332</v>
      </c>
      <c r="AK223" s="145" t="s">
        <v>458</v>
      </c>
      <c r="AL223" s="145" t="s">
        <v>458</v>
      </c>
      <c r="AM223" s="145" t="s">
        <v>458</v>
      </c>
      <c r="AN223" s="196" t="s">
        <v>333</v>
      </c>
      <c r="AO223" s="176" t="s">
        <v>110</v>
      </c>
      <c r="AP223" s="148" t="s">
        <v>458</v>
      </c>
      <c r="AQ223" s="145" t="s">
        <v>458</v>
      </c>
      <c r="AR223" s="145" t="s">
        <v>458</v>
      </c>
      <c r="AS223" s="145" t="s">
        <v>458</v>
      </c>
      <c r="AT223" s="148" t="s">
        <v>458</v>
      </c>
      <c r="AU223" s="145" t="s">
        <v>458</v>
      </c>
    </row>
    <row r="224" spans="1:47" x14ac:dyDescent="0.2">
      <c r="A224" s="21">
        <v>24</v>
      </c>
      <c r="B224" s="29">
        <v>5</v>
      </c>
      <c r="C224" s="29" t="s">
        <v>29</v>
      </c>
      <c r="D224" s="41" t="s">
        <v>33</v>
      </c>
      <c r="E224" s="45" t="s">
        <v>133</v>
      </c>
      <c r="F224" s="45" t="s">
        <v>134</v>
      </c>
      <c r="G224" s="45">
        <v>98</v>
      </c>
      <c r="H224" s="45">
        <v>2</v>
      </c>
      <c r="I224" s="45">
        <f t="shared" si="3"/>
        <v>100</v>
      </c>
      <c r="J224" s="175" t="s">
        <v>108</v>
      </c>
      <c r="K224" s="177" t="s">
        <v>458</v>
      </c>
      <c r="L224" s="232" t="s">
        <v>458</v>
      </c>
      <c r="M224" s="53">
        <v>0</v>
      </c>
      <c r="N224" s="53" t="s">
        <v>458</v>
      </c>
      <c r="O224" s="175" t="s">
        <v>458</v>
      </c>
      <c r="P224" s="165">
        <v>0</v>
      </c>
      <c r="Q224" s="59" t="s">
        <v>458</v>
      </c>
      <c r="R224" s="168" t="s">
        <v>458</v>
      </c>
      <c r="S224" s="53">
        <v>0</v>
      </c>
      <c r="T224" s="53">
        <v>100</v>
      </c>
      <c r="U224" s="53" t="s">
        <v>458</v>
      </c>
      <c r="V224" s="53" t="s">
        <v>458</v>
      </c>
      <c r="W224" s="59" t="s">
        <v>458</v>
      </c>
      <c r="X224" s="59" t="s">
        <v>458</v>
      </c>
      <c r="Y224" s="59" t="s">
        <v>458</v>
      </c>
      <c r="Z224" s="59" t="s">
        <v>458</v>
      </c>
      <c r="AA224" s="59" t="s">
        <v>458</v>
      </c>
      <c r="AB224" s="59" t="s">
        <v>458</v>
      </c>
      <c r="AC224" s="59" t="s">
        <v>458</v>
      </c>
      <c r="AD224" s="59" t="s">
        <v>458</v>
      </c>
      <c r="AE224" s="52" t="s">
        <v>458</v>
      </c>
      <c r="AF224" s="52" t="s">
        <v>458</v>
      </c>
      <c r="AG224" s="286">
        <v>1.23</v>
      </c>
      <c r="AH224" s="59" t="s">
        <v>109</v>
      </c>
      <c r="AI224" s="59" t="s">
        <v>458</v>
      </c>
      <c r="AJ224" s="53" t="s">
        <v>216</v>
      </c>
      <c r="AK224" s="53" t="s">
        <v>458</v>
      </c>
      <c r="AL224" s="53" t="s">
        <v>458</v>
      </c>
      <c r="AM224" s="53" t="s">
        <v>458</v>
      </c>
      <c r="AN224" s="53" t="s">
        <v>344</v>
      </c>
      <c r="AO224" s="53" t="s">
        <v>110</v>
      </c>
      <c r="AP224" s="59" t="s">
        <v>458</v>
      </c>
      <c r="AQ224" s="53" t="s">
        <v>458</v>
      </c>
      <c r="AR224" s="53" t="s">
        <v>458</v>
      </c>
      <c r="AS224" s="53" t="s">
        <v>458</v>
      </c>
      <c r="AT224" s="59" t="s">
        <v>458</v>
      </c>
      <c r="AU224" s="41" t="s">
        <v>458</v>
      </c>
    </row>
    <row r="225" spans="1:47" x14ac:dyDescent="0.2">
      <c r="A225" s="21">
        <v>24</v>
      </c>
      <c r="B225" s="29">
        <v>6</v>
      </c>
      <c r="C225" s="29" t="s">
        <v>90</v>
      </c>
      <c r="D225" s="41" t="s">
        <v>232</v>
      </c>
      <c r="E225" s="45" t="s">
        <v>133</v>
      </c>
      <c r="F225" s="45" t="s">
        <v>134</v>
      </c>
      <c r="G225" s="45">
        <v>98</v>
      </c>
      <c r="H225" s="45">
        <v>2</v>
      </c>
      <c r="I225" s="45">
        <f t="shared" si="3"/>
        <v>100</v>
      </c>
      <c r="J225" s="175" t="s">
        <v>111</v>
      </c>
      <c r="K225" s="177" t="s">
        <v>340</v>
      </c>
      <c r="L225" s="239" t="s">
        <v>427</v>
      </c>
      <c r="M225" s="53">
        <v>5</v>
      </c>
      <c r="N225" s="53" t="s">
        <v>458</v>
      </c>
      <c r="O225" s="175" t="s">
        <v>458</v>
      </c>
      <c r="P225" s="165">
        <v>0</v>
      </c>
      <c r="Q225" s="59" t="s">
        <v>458</v>
      </c>
      <c r="R225" s="168" t="s">
        <v>458</v>
      </c>
      <c r="S225" s="53">
        <v>0</v>
      </c>
      <c r="T225" s="53">
        <v>95</v>
      </c>
      <c r="U225" s="53" t="s">
        <v>458</v>
      </c>
      <c r="V225" s="53" t="s">
        <v>458</v>
      </c>
      <c r="W225" s="59" t="s">
        <v>458</v>
      </c>
      <c r="X225" s="59" t="s">
        <v>458</v>
      </c>
      <c r="Y225" s="59" t="s">
        <v>458</v>
      </c>
      <c r="Z225" s="59" t="s">
        <v>458</v>
      </c>
      <c r="AA225" s="59" t="s">
        <v>458</v>
      </c>
      <c r="AB225" s="59" t="s">
        <v>458</v>
      </c>
      <c r="AC225" s="59" t="s">
        <v>458</v>
      </c>
      <c r="AD225" s="59" t="s">
        <v>458</v>
      </c>
      <c r="AE225" s="52" t="s">
        <v>458</v>
      </c>
      <c r="AF225" s="52" t="s">
        <v>458</v>
      </c>
      <c r="AG225" s="286">
        <v>1.23</v>
      </c>
      <c r="AH225" s="59" t="s">
        <v>109</v>
      </c>
      <c r="AI225" s="59" t="s">
        <v>458</v>
      </c>
      <c r="AJ225" s="53" t="s">
        <v>216</v>
      </c>
      <c r="AK225" s="53" t="s">
        <v>458</v>
      </c>
      <c r="AL225" s="53" t="s">
        <v>458</v>
      </c>
      <c r="AM225" s="53" t="s">
        <v>458</v>
      </c>
      <c r="AN225" s="53" t="s">
        <v>345</v>
      </c>
      <c r="AO225" s="53" t="s">
        <v>110</v>
      </c>
      <c r="AP225" s="59" t="s">
        <v>458</v>
      </c>
      <c r="AQ225" s="53" t="s">
        <v>458</v>
      </c>
      <c r="AR225" s="53" t="s">
        <v>458</v>
      </c>
      <c r="AS225" s="53" t="s">
        <v>458</v>
      </c>
      <c r="AT225" s="59" t="s">
        <v>458</v>
      </c>
      <c r="AU225" s="41" t="s">
        <v>458</v>
      </c>
    </row>
    <row r="226" spans="1:47" x14ac:dyDescent="0.2">
      <c r="A226" s="21">
        <v>24</v>
      </c>
      <c r="B226" s="29">
        <v>7</v>
      </c>
      <c r="C226" s="29" t="s">
        <v>91</v>
      </c>
      <c r="D226" s="41" t="s">
        <v>232</v>
      </c>
      <c r="E226" s="45" t="s">
        <v>133</v>
      </c>
      <c r="F226" s="45" t="s">
        <v>134</v>
      </c>
      <c r="G226" s="45">
        <v>98</v>
      </c>
      <c r="H226" s="45">
        <v>2</v>
      </c>
      <c r="I226" s="45">
        <f t="shared" si="3"/>
        <v>100</v>
      </c>
      <c r="J226" s="175" t="s">
        <v>111</v>
      </c>
      <c r="K226" s="177" t="s">
        <v>341</v>
      </c>
      <c r="L226" s="239" t="s">
        <v>378</v>
      </c>
      <c r="M226" s="53">
        <v>5</v>
      </c>
      <c r="N226" s="53" t="s">
        <v>458</v>
      </c>
      <c r="O226" s="175" t="s">
        <v>458</v>
      </c>
      <c r="P226" s="165">
        <v>0</v>
      </c>
      <c r="Q226" s="59" t="s">
        <v>458</v>
      </c>
      <c r="R226" s="168" t="s">
        <v>458</v>
      </c>
      <c r="S226" s="53">
        <v>0</v>
      </c>
      <c r="T226" s="53">
        <v>95</v>
      </c>
      <c r="U226" s="53" t="s">
        <v>458</v>
      </c>
      <c r="V226" s="53" t="s">
        <v>458</v>
      </c>
      <c r="W226" s="59" t="s">
        <v>458</v>
      </c>
      <c r="X226" s="59" t="s">
        <v>458</v>
      </c>
      <c r="Y226" s="59" t="s">
        <v>458</v>
      </c>
      <c r="Z226" s="59" t="s">
        <v>458</v>
      </c>
      <c r="AA226" s="59" t="s">
        <v>458</v>
      </c>
      <c r="AB226" s="59" t="s">
        <v>458</v>
      </c>
      <c r="AC226" s="59" t="s">
        <v>458</v>
      </c>
      <c r="AD226" s="59" t="s">
        <v>458</v>
      </c>
      <c r="AE226" s="52" t="s">
        <v>458</v>
      </c>
      <c r="AF226" s="52" t="s">
        <v>458</v>
      </c>
      <c r="AG226" s="286">
        <v>1.23</v>
      </c>
      <c r="AH226" s="59" t="s">
        <v>109</v>
      </c>
      <c r="AI226" s="59" t="s">
        <v>458</v>
      </c>
      <c r="AJ226" s="53" t="s">
        <v>216</v>
      </c>
      <c r="AK226" s="53" t="s">
        <v>458</v>
      </c>
      <c r="AL226" s="53" t="s">
        <v>458</v>
      </c>
      <c r="AM226" s="53" t="s">
        <v>458</v>
      </c>
      <c r="AN226" s="53" t="s">
        <v>346</v>
      </c>
      <c r="AO226" s="53" t="s">
        <v>110</v>
      </c>
      <c r="AP226" s="59" t="s">
        <v>458</v>
      </c>
      <c r="AQ226" s="53" t="s">
        <v>458</v>
      </c>
      <c r="AR226" s="53" t="s">
        <v>458</v>
      </c>
      <c r="AS226" s="53" t="s">
        <v>458</v>
      </c>
      <c r="AT226" s="59" t="s">
        <v>458</v>
      </c>
      <c r="AU226" s="41" t="s">
        <v>458</v>
      </c>
    </row>
    <row r="227" spans="1:47" s="18" customFormat="1" x14ac:dyDescent="0.2">
      <c r="A227" s="23">
        <v>24</v>
      </c>
      <c r="B227" s="30">
        <v>8</v>
      </c>
      <c r="C227" s="30" t="s">
        <v>92</v>
      </c>
      <c r="D227" s="43" t="s">
        <v>232</v>
      </c>
      <c r="E227" s="46" t="s">
        <v>133</v>
      </c>
      <c r="F227" s="46" t="s">
        <v>134</v>
      </c>
      <c r="G227" s="46">
        <v>98</v>
      </c>
      <c r="H227" s="46">
        <v>2</v>
      </c>
      <c r="I227" s="46">
        <f t="shared" si="3"/>
        <v>100</v>
      </c>
      <c r="J227" s="176" t="s">
        <v>111</v>
      </c>
      <c r="K227" s="178" t="s">
        <v>342</v>
      </c>
      <c r="L227" s="240" t="s">
        <v>378</v>
      </c>
      <c r="M227" s="54">
        <v>5</v>
      </c>
      <c r="N227" s="54" t="s">
        <v>458</v>
      </c>
      <c r="O227" s="176" t="s">
        <v>458</v>
      </c>
      <c r="P227" s="166">
        <v>0</v>
      </c>
      <c r="Q227" s="60" t="s">
        <v>458</v>
      </c>
      <c r="R227" s="169" t="s">
        <v>458</v>
      </c>
      <c r="S227" s="54">
        <v>0</v>
      </c>
      <c r="T227" s="54">
        <v>95</v>
      </c>
      <c r="U227" s="54" t="s">
        <v>458</v>
      </c>
      <c r="V227" s="54" t="s">
        <v>458</v>
      </c>
      <c r="W227" s="60" t="s">
        <v>458</v>
      </c>
      <c r="X227" s="60" t="s">
        <v>458</v>
      </c>
      <c r="Y227" s="60" t="s">
        <v>458</v>
      </c>
      <c r="Z227" s="60" t="s">
        <v>458</v>
      </c>
      <c r="AA227" s="60" t="s">
        <v>458</v>
      </c>
      <c r="AB227" s="60" t="s">
        <v>458</v>
      </c>
      <c r="AC227" s="60" t="s">
        <v>458</v>
      </c>
      <c r="AD227" s="60" t="s">
        <v>458</v>
      </c>
      <c r="AE227" s="84" t="s">
        <v>458</v>
      </c>
      <c r="AF227" s="84" t="s">
        <v>458</v>
      </c>
      <c r="AG227" s="287">
        <v>1.23</v>
      </c>
      <c r="AH227" s="60" t="s">
        <v>109</v>
      </c>
      <c r="AI227" s="60" t="s">
        <v>458</v>
      </c>
      <c r="AJ227" s="54" t="s">
        <v>216</v>
      </c>
      <c r="AK227" s="54" t="s">
        <v>458</v>
      </c>
      <c r="AL227" s="54" t="s">
        <v>458</v>
      </c>
      <c r="AM227" s="54" t="s">
        <v>458</v>
      </c>
      <c r="AN227" s="54" t="s">
        <v>347</v>
      </c>
      <c r="AO227" s="54" t="s">
        <v>110</v>
      </c>
      <c r="AP227" s="60" t="s">
        <v>458</v>
      </c>
      <c r="AQ227" s="54" t="s">
        <v>458</v>
      </c>
      <c r="AR227" s="54" t="s">
        <v>458</v>
      </c>
      <c r="AS227" s="54" t="s">
        <v>458</v>
      </c>
      <c r="AT227" s="60" t="s">
        <v>458</v>
      </c>
      <c r="AU227" s="43" t="s">
        <v>458</v>
      </c>
    </row>
    <row r="229" spans="1:47" ht="21" x14ac:dyDescent="0.25">
      <c r="C229" s="357"/>
    </row>
    <row r="232" spans="1:47" x14ac:dyDescent="0.2">
      <c r="L232" s="247"/>
    </row>
    <row r="233" spans="1:47" x14ac:dyDescent="0.2">
      <c r="L233" s="247"/>
    </row>
    <row r="474" spans="3:3" x14ac:dyDescent="0.2">
      <c r="C474" s="34" t="str">
        <f t="shared" ref="C474:C475" si="5">A239&amp;" "&amp;B239</f>
        <v xml:space="preserve"> </v>
      </c>
    </row>
    <row r="475" spans="3:3" x14ac:dyDescent="0.2">
      <c r="C475" s="34" t="str">
        <f t="shared" si="5"/>
        <v xml:space="preserve"> </v>
      </c>
    </row>
  </sheetData>
  <autoFilter ref="A1:AY233" xr:uid="{6390096A-6538-43A8-B49F-194F4C20D777}"/>
  <mergeCells count="1">
    <mergeCell ref="AV14:AW14"/>
  </mergeCells>
  <phoneticPr fontId="34"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79C0-4642-47E7-BB40-5B9D3997F1EE}">
  <dimension ref="A1:AI134"/>
  <sheetViews>
    <sheetView tabSelected="1" zoomScale="110" zoomScaleNormal="110" workbookViewId="0">
      <pane ySplit="1" topLeftCell="A2" activePane="bottomLeft" state="frozen"/>
      <selection activeCell="K31" sqref="K31"/>
      <selection pane="bottomLeft" activeCell="E8" sqref="E8"/>
    </sheetView>
  </sheetViews>
  <sheetFormatPr baseColWidth="10" defaultColWidth="14.5" defaultRowHeight="15" x14ac:dyDescent="0.2"/>
  <cols>
    <col min="1" max="1" width="15.1640625" style="38" customWidth="1"/>
    <col min="2" max="2" width="14.6640625" style="37" customWidth="1"/>
    <col min="3" max="3" width="48.6640625" style="37" customWidth="1"/>
    <col min="4" max="4" width="25.5" style="38" customWidth="1"/>
    <col min="5" max="5" width="24" style="37" customWidth="1"/>
    <col min="6" max="6" width="39.5" style="37" customWidth="1"/>
    <col min="7" max="7" width="16.83203125" style="38" customWidth="1"/>
    <col min="8" max="8" width="20.5" style="38" customWidth="1"/>
    <col min="9" max="9" width="23.83203125" style="37" customWidth="1"/>
    <col min="10" max="10" width="24.33203125" style="37" customWidth="1"/>
    <col min="11" max="11" width="25.33203125" style="37" customWidth="1"/>
    <col min="12" max="12" width="23" style="38" customWidth="1"/>
    <col min="13" max="13" width="18.5" style="38" customWidth="1"/>
    <col min="14" max="14" width="16.83203125" style="38" customWidth="1"/>
    <col min="15" max="15" width="24.5" style="38" customWidth="1"/>
    <col min="16" max="17" width="10.6640625" style="38" customWidth="1"/>
    <col min="18" max="18" width="21.33203125" style="102" customWidth="1"/>
    <col min="19" max="19" width="13" style="38" customWidth="1"/>
    <col min="20" max="20" width="14.83203125" style="38" customWidth="1"/>
    <col min="21" max="21" width="14.5" style="38" customWidth="1"/>
    <col min="22" max="22" width="13" style="37" customWidth="1"/>
    <col min="23" max="23" width="12.83203125" style="37" customWidth="1"/>
    <col min="24" max="24" width="14" style="37" customWidth="1"/>
    <col min="25" max="25" width="12.1640625" style="38" customWidth="1"/>
    <col min="26" max="26" width="39.33203125" style="155" customWidth="1"/>
    <col min="27" max="28" width="37.5" style="37" customWidth="1"/>
    <col min="29" max="29" width="17.33203125" style="37" customWidth="1"/>
    <col min="30" max="44" width="10.6640625" style="16" customWidth="1"/>
    <col min="45" max="16384" width="14.5" style="16"/>
  </cols>
  <sheetData>
    <row r="1" spans="1:29" s="376" customFormat="1" ht="45" customHeight="1" x14ac:dyDescent="0.2">
      <c r="A1" s="367" t="s">
        <v>113</v>
      </c>
      <c r="B1" s="368" t="s">
        <v>97</v>
      </c>
      <c r="C1" s="368" t="s">
        <v>397</v>
      </c>
      <c r="D1" s="367" t="s">
        <v>416</v>
      </c>
      <c r="E1" s="367" t="s">
        <v>462</v>
      </c>
      <c r="F1" s="368" t="s">
        <v>461</v>
      </c>
      <c r="G1" s="368" t="s">
        <v>463</v>
      </c>
      <c r="H1" s="367" t="s">
        <v>464</v>
      </c>
      <c r="I1" s="369" t="s">
        <v>465</v>
      </c>
      <c r="J1" s="369" t="s">
        <v>466</v>
      </c>
      <c r="K1" s="369" t="s">
        <v>448</v>
      </c>
      <c r="L1" s="370" t="s">
        <v>449</v>
      </c>
      <c r="M1" s="370" t="s">
        <v>417</v>
      </c>
      <c r="N1" s="370" t="s">
        <v>418</v>
      </c>
      <c r="O1" s="371" t="s">
        <v>419</v>
      </c>
      <c r="P1" s="371" t="s">
        <v>126</v>
      </c>
      <c r="Q1" s="371" t="s">
        <v>451</v>
      </c>
      <c r="R1" s="372" t="s">
        <v>420</v>
      </c>
      <c r="S1" s="373" t="s">
        <v>125</v>
      </c>
      <c r="T1" s="373" t="s">
        <v>452</v>
      </c>
      <c r="U1" s="374" t="s">
        <v>114</v>
      </c>
      <c r="V1" s="368" t="s">
        <v>115</v>
      </c>
      <c r="W1" s="368" t="s">
        <v>116</v>
      </c>
      <c r="X1" s="368" t="s">
        <v>117</v>
      </c>
      <c r="Y1" s="367" t="s">
        <v>118</v>
      </c>
      <c r="Z1" s="375" t="s">
        <v>467</v>
      </c>
      <c r="AA1" s="375" t="s">
        <v>441</v>
      </c>
      <c r="AB1" s="375" t="s">
        <v>456</v>
      </c>
      <c r="AC1" s="368" t="s">
        <v>421</v>
      </c>
    </row>
    <row r="2" spans="1:29" ht="16" x14ac:dyDescent="0.2">
      <c r="A2" s="21">
        <v>4</v>
      </c>
      <c r="B2" s="29">
        <v>5</v>
      </c>
      <c r="C2" s="29" t="s">
        <v>30</v>
      </c>
      <c r="D2" s="52" t="s">
        <v>152</v>
      </c>
      <c r="E2" s="37" t="s">
        <v>120</v>
      </c>
      <c r="F2" s="257" t="s">
        <v>428</v>
      </c>
      <c r="G2" s="59" t="s">
        <v>458</v>
      </c>
      <c r="H2" s="97" t="s">
        <v>121</v>
      </c>
      <c r="I2" s="37" t="s">
        <v>154</v>
      </c>
      <c r="J2" s="163" t="s">
        <v>153</v>
      </c>
      <c r="K2" s="41" t="s">
        <v>149</v>
      </c>
      <c r="L2" s="59" t="s">
        <v>150</v>
      </c>
      <c r="M2" s="59" t="s">
        <v>151</v>
      </c>
      <c r="N2" s="38">
        <v>38</v>
      </c>
      <c r="O2" s="97" t="s">
        <v>458</v>
      </c>
      <c r="P2" s="97" t="s">
        <v>458</v>
      </c>
      <c r="Q2" s="97" t="s">
        <v>458</v>
      </c>
      <c r="R2" s="97" t="s">
        <v>458</v>
      </c>
      <c r="S2" s="97" t="s">
        <v>458</v>
      </c>
      <c r="T2" s="97" t="s">
        <v>458</v>
      </c>
      <c r="U2" s="97" t="s">
        <v>458</v>
      </c>
      <c r="V2" s="39" t="s">
        <v>458</v>
      </c>
      <c r="W2" s="39" t="s">
        <v>458</v>
      </c>
      <c r="X2" s="39" t="s">
        <v>458</v>
      </c>
      <c r="Y2" s="97" t="s">
        <v>458</v>
      </c>
      <c r="Z2" s="343" t="s">
        <v>137</v>
      </c>
      <c r="AA2" s="53" t="s">
        <v>145</v>
      </c>
      <c r="AB2" s="53" t="s">
        <v>459</v>
      </c>
      <c r="AC2" s="53" t="s">
        <v>458</v>
      </c>
    </row>
    <row r="3" spans="1:29" s="55" customFormat="1" ht="16" x14ac:dyDescent="0.2">
      <c r="A3" s="277">
        <v>4</v>
      </c>
      <c r="B3" s="30">
        <v>6</v>
      </c>
      <c r="C3" s="30" t="s">
        <v>31</v>
      </c>
      <c r="D3" s="84" t="s">
        <v>152</v>
      </c>
      <c r="E3" s="54" t="s">
        <v>120</v>
      </c>
      <c r="F3" s="258" t="s">
        <v>428</v>
      </c>
      <c r="G3" s="250" t="s">
        <v>458</v>
      </c>
      <c r="H3" s="98" t="s">
        <v>121</v>
      </c>
      <c r="I3" s="106" t="s">
        <v>154</v>
      </c>
      <c r="J3" s="164" t="s">
        <v>153</v>
      </c>
      <c r="K3" s="43" t="s">
        <v>149</v>
      </c>
      <c r="L3" s="60" t="s">
        <v>150</v>
      </c>
      <c r="M3" s="60" t="s">
        <v>151</v>
      </c>
      <c r="N3" s="94">
        <v>38</v>
      </c>
      <c r="O3" s="101" t="s">
        <v>458</v>
      </c>
      <c r="P3" s="101" t="s">
        <v>458</v>
      </c>
      <c r="Q3" s="101" t="s">
        <v>458</v>
      </c>
      <c r="R3" s="101" t="s">
        <v>458</v>
      </c>
      <c r="S3" s="101" t="s">
        <v>458</v>
      </c>
      <c r="T3" s="101" t="s">
        <v>458</v>
      </c>
      <c r="U3" s="98" t="s">
        <v>458</v>
      </c>
      <c r="V3" s="40" t="s">
        <v>458</v>
      </c>
      <c r="W3" s="40" t="s">
        <v>458</v>
      </c>
      <c r="X3" s="40" t="s">
        <v>458</v>
      </c>
      <c r="Y3" s="98" t="s">
        <v>458</v>
      </c>
      <c r="Z3" s="344" t="s">
        <v>137</v>
      </c>
      <c r="AA3" s="248" t="s">
        <v>145</v>
      </c>
      <c r="AB3" s="248" t="s">
        <v>459</v>
      </c>
      <c r="AC3" s="54" t="s">
        <v>458</v>
      </c>
    </row>
    <row r="4" spans="1:29" ht="80" x14ac:dyDescent="0.2">
      <c r="A4" s="21">
        <v>5</v>
      </c>
      <c r="B4" s="29">
        <v>1</v>
      </c>
      <c r="C4" s="29" t="s">
        <v>161</v>
      </c>
      <c r="D4" s="91" t="s">
        <v>160</v>
      </c>
      <c r="E4" s="37" t="s">
        <v>120</v>
      </c>
      <c r="F4" s="318" t="s">
        <v>477</v>
      </c>
      <c r="G4" s="305" t="s">
        <v>458</v>
      </c>
      <c r="H4" s="95" t="s">
        <v>458</v>
      </c>
      <c r="I4" s="61" t="s">
        <v>458</v>
      </c>
      <c r="J4" s="61" t="s">
        <v>458</v>
      </c>
      <c r="K4" s="61" t="s">
        <v>458</v>
      </c>
      <c r="L4" s="95" t="s">
        <v>458</v>
      </c>
      <c r="M4" s="95" t="s">
        <v>458</v>
      </c>
      <c r="N4" s="95" t="s">
        <v>458</v>
      </c>
      <c r="O4" s="95" t="s">
        <v>458</v>
      </c>
      <c r="P4" s="95" t="s">
        <v>458</v>
      </c>
      <c r="Q4" s="95" t="s">
        <v>458</v>
      </c>
      <c r="R4" s="95" t="s">
        <v>458</v>
      </c>
      <c r="S4" s="95" t="s">
        <v>458</v>
      </c>
      <c r="T4" s="95" t="s">
        <v>458</v>
      </c>
      <c r="U4" s="97" t="s">
        <v>458</v>
      </c>
      <c r="V4" s="39" t="s">
        <v>458</v>
      </c>
      <c r="W4" s="39" t="s">
        <v>458</v>
      </c>
      <c r="X4" s="39" t="s">
        <v>458</v>
      </c>
      <c r="Y4" s="97" t="s">
        <v>458</v>
      </c>
      <c r="Z4" s="118" t="s">
        <v>159</v>
      </c>
      <c r="AA4" s="63" t="s">
        <v>122</v>
      </c>
      <c r="AB4" s="63" t="s">
        <v>459</v>
      </c>
      <c r="AC4" s="53" t="s">
        <v>458</v>
      </c>
    </row>
    <row r="5" spans="1:29" ht="80" x14ac:dyDescent="0.2">
      <c r="A5" s="21">
        <v>5</v>
      </c>
      <c r="B5" s="29">
        <v>2</v>
      </c>
      <c r="C5" s="29" t="s">
        <v>41</v>
      </c>
      <c r="D5" s="91" t="s">
        <v>160</v>
      </c>
      <c r="E5" s="37" t="s">
        <v>120</v>
      </c>
      <c r="F5" s="318" t="s">
        <v>477</v>
      </c>
      <c r="G5" s="95" t="s">
        <v>458</v>
      </c>
      <c r="H5" s="95" t="s">
        <v>458</v>
      </c>
      <c r="I5" s="61" t="s">
        <v>458</v>
      </c>
      <c r="J5" s="61" t="s">
        <v>458</v>
      </c>
      <c r="K5" s="61" t="s">
        <v>458</v>
      </c>
      <c r="L5" s="95" t="s">
        <v>458</v>
      </c>
      <c r="M5" s="95" t="s">
        <v>458</v>
      </c>
      <c r="N5" s="95" t="s">
        <v>458</v>
      </c>
      <c r="O5" s="95" t="s">
        <v>458</v>
      </c>
      <c r="P5" s="95" t="s">
        <v>458</v>
      </c>
      <c r="Q5" s="95" t="s">
        <v>458</v>
      </c>
      <c r="R5" s="95" t="s">
        <v>458</v>
      </c>
      <c r="S5" s="95" t="s">
        <v>458</v>
      </c>
      <c r="T5" s="95" t="s">
        <v>458</v>
      </c>
      <c r="U5" s="97" t="s">
        <v>458</v>
      </c>
      <c r="V5" s="39" t="s">
        <v>458</v>
      </c>
      <c r="W5" s="39" t="s">
        <v>458</v>
      </c>
      <c r="X5" s="39" t="s">
        <v>458</v>
      </c>
      <c r="Y5" s="97" t="s">
        <v>458</v>
      </c>
      <c r="Z5" s="118" t="s">
        <v>159</v>
      </c>
      <c r="AA5" s="63" t="s">
        <v>122</v>
      </c>
      <c r="AB5" s="63" t="s">
        <v>459</v>
      </c>
      <c r="AC5" s="53" t="s">
        <v>458</v>
      </c>
    </row>
    <row r="6" spans="1:29" ht="80" x14ac:dyDescent="0.2">
      <c r="A6" s="21">
        <v>5</v>
      </c>
      <c r="B6" s="29">
        <v>3</v>
      </c>
      <c r="C6" s="29" t="s">
        <v>41</v>
      </c>
      <c r="D6" s="91" t="s">
        <v>160</v>
      </c>
      <c r="E6" s="37" t="s">
        <v>120</v>
      </c>
      <c r="F6" s="318" t="s">
        <v>477</v>
      </c>
      <c r="G6" s="95" t="s">
        <v>458</v>
      </c>
      <c r="H6" s="95" t="s">
        <v>458</v>
      </c>
      <c r="I6" s="61" t="s">
        <v>458</v>
      </c>
      <c r="J6" s="61" t="s">
        <v>458</v>
      </c>
      <c r="K6" s="61" t="s">
        <v>458</v>
      </c>
      <c r="L6" s="95" t="s">
        <v>458</v>
      </c>
      <c r="M6" s="95" t="s">
        <v>458</v>
      </c>
      <c r="N6" s="95" t="s">
        <v>458</v>
      </c>
      <c r="O6" s="95" t="s">
        <v>458</v>
      </c>
      <c r="P6" s="95" t="s">
        <v>458</v>
      </c>
      <c r="Q6" s="95" t="s">
        <v>458</v>
      </c>
      <c r="R6" s="95" t="s">
        <v>458</v>
      </c>
      <c r="S6" s="95" t="s">
        <v>458</v>
      </c>
      <c r="T6" s="95" t="s">
        <v>458</v>
      </c>
      <c r="U6" s="97" t="s">
        <v>458</v>
      </c>
      <c r="V6" s="39" t="s">
        <v>458</v>
      </c>
      <c r="W6" s="39" t="s">
        <v>458</v>
      </c>
      <c r="X6" s="39" t="s">
        <v>458</v>
      </c>
      <c r="Y6" s="97" t="s">
        <v>458</v>
      </c>
      <c r="Z6" s="118" t="s">
        <v>159</v>
      </c>
      <c r="AA6" s="63" t="s">
        <v>122</v>
      </c>
      <c r="AB6" s="63" t="s">
        <v>459</v>
      </c>
      <c r="AC6" s="53" t="s">
        <v>458</v>
      </c>
    </row>
    <row r="7" spans="1:29" ht="80" x14ac:dyDescent="0.2">
      <c r="A7" s="21">
        <v>5</v>
      </c>
      <c r="B7" s="29">
        <v>4</v>
      </c>
      <c r="C7" s="29" t="s">
        <v>41</v>
      </c>
      <c r="D7" s="91" t="s">
        <v>160</v>
      </c>
      <c r="E7" s="37" t="s">
        <v>120</v>
      </c>
      <c r="F7" s="318" t="s">
        <v>477</v>
      </c>
      <c r="G7" s="95" t="s">
        <v>458</v>
      </c>
      <c r="H7" s="95" t="s">
        <v>458</v>
      </c>
      <c r="I7" s="61" t="s">
        <v>458</v>
      </c>
      <c r="J7" s="61" t="s">
        <v>458</v>
      </c>
      <c r="K7" s="61" t="s">
        <v>458</v>
      </c>
      <c r="L7" s="95" t="s">
        <v>458</v>
      </c>
      <c r="M7" s="95" t="s">
        <v>458</v>
      </c>
      <c r="N7" s="95" t="s">
        <v>458</v>
      </c>
      <c r="O7" s="95" t="s">
        <v>458</v>
      </c>
      <c r="P7" s="95" t="s">
        <v>458</v>
      </c>
      <c r="Q7" s="95" t="s">
        <v>458</v>
      </c>
      <c r="R7" s="95" t="s">
        <v>458</v>
      </c>
      <c r="S7" s="95" t="s">
        <v>458</v>
      </c>
      <c r="T7" s="95" t="s">
        <v>458</v>
      </c>
      <c r="U7" s="97" t="s">
        <v>458</v>
      </c>
      <c r="V7" s="39" t="s">
        <v>458</v>
      </c>
      <c r="W7" s="39" t="s">
        <v>458</v>
      </c>
      <c r="X7" s="39" t="s">
        <v>458</v>
      </c>
      <c r="Y7" s="97" t="s">
        <v>458</v>
      </c>
      <c r="Z7" s="118" t="s">
        <v>159</v>
      </c>
      <c r="AA7" s="63" t="s">
        <v>122</v>
      </c>
      <c r="AB7" s="63" t="s">
        <v>459</v>
      </c>
      <c r="AC7" s="53" t="s">
        <v>458</v>
      </c>
    </row>
    <row r="8" spans="1:29" ht="80" x14ac:dyDescent="0.2">
      <c r="A8" s="21">
        <v>5</v>
      </c>
      <c r="B8" s="29">
        <v>5</v>
      </c>
      <c r="C8" s="29" t="s">
        <v>41</v>
      </c>
      <c r="D8" s="91" t="s">
        <v>160</v>
      </c>
      <c r="E8" s="37" t="s">
        <v>120</v>
      </c>
      <c r="F8" s="318" t="s">
        <v>477</v>
      </c>
      <c r="G8" s="95" t="s">
        <v>458</v>
      </c>
      <c r="H8" s="95" t="s">
        <v>458</v>
      </c>
      <c r="I8" s="61" t="s">
        <v>458</v>
      </c>
      <c r="J8" s="61" t="s">
        <v>458</v>
      </c>
      <c r="K8" s="61" t="s">
        <v>458</v>
      </c>
      <c r="L8" s="95" t="s">
        <v>458</v>
      </c>
      <c r="M8" s="95" t="s">
        <v>458</v>
      </c>
      <c r="N8" s="95" t="s">
        <v>458</v>
      </c>
      <c r="O8" s="95" t="s">
        <v>458</v>
      </c>
      <c r="P8" s="95" t="s">
        <v>458</v>
      </c>
      <c r="Q8" s="95" t="s">
        <v>458</v>
      </c>
      <c r="R8" s="95" t="s">
        <v>458</v>
      </c>
      <c r="S8" s="95" t="s">
        <v>458</v>
      </c>
      <c r="T8" s="95" t="s">
        <v>458</v>
      </c>
      <c r="U8" s="97" t="s">
        <v>458</v>
      </c>
      <c r="V8" s="39" t="s">
        <v>458</v>
      </c>
      <c r="W8" s="39" t="s">
        <v>458</v>
      </c>
      <c r="X8" s="39" t="s">
        <v>458</v>
      </c>
      <c r="Y8" s="97" t="s">
        <v>458</v>
      </c>
      <c r="Z8" s="118" t="s">
        <v>159</v>
      </c>
      <c r="AA8" s="63" t="s">
        <v>122</v>
      </c>
      <c r="AB8" s="63" t="s">
        <v>459</v>
      </c>
      <c r="AC8" s="53" t="s">
        <v>458</v>
      </c>
    </row>
    <row r="9" spans="1:29" ht="80" x14ac:dyDescent="0.2">
      <c r="A9" s="21">
        <v>5</v>
      </c>
      <c r="B9" s="29">
        <v>6</v>
      </c>
      <c r="C9" s="29" t="s">
        <v>41</v>
      </c>
      <c r="D9" s="91" t="s">
        <v>160</v>
      </c>
      <c r="E9" s="37" t="s">
        <v>120</v>
      </c>
      <c r="F9" s="318" t="s">
        <v>477</v>
      </c>
      <c r="G9" s="95" t="s">
        <v>458</v>
      </c>
      <c r="H9" s="95" t="s">
        <v>458</v>
      </c>
      <c r="I9" s="61" t="s">
        <v>458</v>
      </c>
      <c r="J9" s="61" t="s">
        <v>458</v>
      </c>
      <c r="K9" s="61" t="s">
        <v>458</v>
      </c>
      <c r="L9" s="95" t="s">
        <v>458</v>
      </c>
      <c r="M9" s="95" t="s">
        <v>458</v>
      </c>
      <c r="N9" s="95" t="s">
        <v>458</v>
      </c>
      <c r="O9" s="95" t="s">
        <v>458</v>
      </c>
      <c r="P9" s="95" t="s">
        <v>458</v>
      </c>
      <c r="Q9" s="95" t="s">
        <v>458</v>
      </c>
      <c r="R9" s="95" t="s">
        <v>458</v>
      </c>
      <c r="S9" s="95" t="s">
        <v>458</v>
      </c>
      <c r="T9" s="95" t="s">
        <v>458</v>
      </c>
      <c r="U9" s="97" t="s">
        <v>458</v>
      </c>
      <c r="V9" s="39" t="s">
        <v>458</v>
      </c>
      <c r="W9" s="39" t="s">
        <v>458</v>
      </c>
      <c r="X9" s="39" t="s">
        <v>458</v>
      </c>
      <c r="Y9" s="97" t="s">
        <v>458</v>
      </c>
      <c r="Z9" s="118" t="s">
        <v>159</v>
      </c>
      <c r="AA9" s="63" t="s">
        <v>122</v>
      </c>
      <c r="AB9" s="63" t="s">
        <v>459</v>
      </c>
      <c r="AC9" s="53" t="s">
        <v>458</v>
      </c>
    </row>
    <row r="10" spans="1:29" ht="80" x14ac:dyDescent="0.2">
      <c r="A10" s="21">
        <v>5</v>
      </c>
      <c r="B10" s="29">
        <v>7</v>
      </c>
      <c r="C10" s="29" t="s">
        <v>41</v>
      </c>
      <c r="D10" s="91" t="s">
        <v>160</v>
      </c>
      <c r="E10" s="37" t="s">
        <v>120</v>
      </c>
      <c r="F10" s="318" t="s">
        <v>477</v>
      </c>
      <c r="G10" s="95" t="s">
        <v>458</v>
      </c>
      <c r="H10" s="95" t="s">
        <v>458</v>
      </c>
      <c r="I10" s="61" t="s">
        <v>458</v>
      </c>
      <c r="J10" s="61" t="s">
        <v>458</v>
      </c>
      <c r="K10" s="61" t="s">
        <v>458</v>
      </c>
      <c r="L10" s="95" t="s">
        <v>458</v>
      </c>
      <c r="M10" s="95" t="s">
        <v>458</v>
      </c>
      <c r="N10" s="95" t="s">
        <v>458</v>
      </c>
      <c r="O10" s="95" t="s">
        <v>458</v>
      </c>
      <c r="P10" s="95" t="s">
        <v>458</v>
      </c>
      <c r="Q10" s="95" t="s">
        <v>458</v>
      </c>
      <c r="R10" s="95" t="s">
        <v>458</v>
      </c>
      <c r="S10" s="95" t="s">
        <v>458</v>
      </c>
      <c r="T10" s="95" t="s">
        <v>458</v>
      </c>
      <c r="U10" s="97" t="s">
        <v>458</v>
      </c>
      <c r="V10" s="39" t="s">
        <v>458</v>
      </c>
      <c r="W10" s="39" t="s">
        <v>458</v>
      </c>
      <c r="X10" s="39" t="s">
        <v>458</v>
      </c>
      <c r="Y10" s="97" t="s">
        <v>458</v>
      </c>
      <c r="Z10" s="118" t="s">
        <v>159</v>
      </c>
      <c r="AA10" s="63" t="s">
        <v>122</v>
      </c>
      <c r="AB10" s="63" t="s">
        <v>459</v>
      </c>
      <c r="AC10" s="53" t="s">
        <v>458</v>
      </c>
    </row>
    <row r="11" spans="1:29" ht="80" x14ac:dyDescent="0.2">
      <c r="A11" s="21">
        <v>5</v>
      </c>
      <c r="B11" s="29">
        <v>8</v>
      </c>
      <c r="C11" s="29" t="s">
        <v>41</v>
      </c>
      <c r="D11" s="91" t="s">
        <v>160</v>
      </c>
      <c r="E11" s="37" t="s">
        <v>120</v>
      </c>
      <c r="F11" s="318" t="s">
        <v>477</v>
      </c>
      <c r="G11" s="95" t="s">
        <v>458</v>
      </c>
      <c r="H11" s="95" t="s">
        <v>458</v>
      </c>
      <c r="I11" s="61" t="s">
        <v>458</v>
      </c>
      <c r="J11" s="61" t="s">
        <v>458</v>
      </c>
      <c r="K11" s="61" t="s">
        <v>458</v>
      </c>
      <c r="L11" s="95" t="s">
        <v>458</v>
      </c>
      <c r="M11" s="95" t="s">
        <v>458</v>
      </c>
      <c r="N11" s="95" t="s">
        <v>458</v>
      </c>
      <c r="O11" s="95" t="s">
        <v>458</v>
      </c>
      <c r="P11" s="95" t="s">
        <v>458</v>
      </c>
      <c r="Q11" s="95" t="s">
        <v>458</v>
      </c>
      <c r="R11" s="95" t="s">
        <v>458</v>
      </c>
      <c r="S11" s="95" t="s">
        <v>458</v>
      </c>
      <c r="T11" s="95" t="s">
        <v>458</v>
      </c>
      <c r="U11" s="97" t="s">
        <v>458</v>
      </c>
      <c r="V11" s="39" t="s">
        <v>458</v>
      </c>
      <c r="W11" s="39" t="s">
        <v>458</v>
      </c>
      <c r="X11" s="39" t="s">
        <v>458</v>
      </c>
      <c r="Y11" s="97" t="s">
        <v>458</v>
      </c>
      <c r="Z11" s="118" t="s">
        <v>159</v>
      </c>
      <c r="AA11" s="63" t="s">
        <v>122</v>
      </c>
      <c r="AB11" s="63" t="s">
        <v>459</v>
      </c>
      <c r="AC11" s="53" t="s">
        <v>458</v>
      </c>
    </row>
    <row r="12" spans="1:29" ht="80" x14ac:dyDescent="0.2">
      <c r="A12" s="21">
        <v>5</v>
      </c>
      <c r="B12" s="29">
        <v>9</v>
      </c>
      <c r="C12" s="29" t="s">
        <v>161</v>
      </c>
      <c r="D12" s="91" t="s">
        <v>160</v>
      </c>
      <c r="E12" s="37" t="s">
        <v>120</v>
      </c>
      <c r="F12" s="318" t="s">
        <v>477</v>
      </c>
      <c r="G12" s="95" t="s">
        <v>458</v>
      </c>
      <c r="H12" s="95" t="s">
        <v>458</v>
      </c>
      <c r="I12" s="61" t="s">
        <v>458</v>
      </c>
      <c r="J12" s="61" t="s">
        <v>458</v>
      </c>
      <c r="K12" s="61" t="s">
        <v>458</v>
      </c>
      <c r="L12" s="95" t="s">
        <v>458</v>
      </c>
      <c r="M12" s="95" t="s">
        <v>458</v>
      </c>
      <c r="N12" s="95" t="s">
        <v>458</v>
      </c>
      <c r="O12" s="95" t="s">
        <v>458</v>
      </c>
      <c r="P12" s="95" t="s">
        <v>458</v>
      </c>
      <c r="Q12" s="95" t="s">
        <v>458</v>
      </c>
      <c r="R12" s="95" t="s">
        <v>458</v>
      </c>
      <c r="S12" s="95" t="s">
        <v>458</v>
      </c>
      <c r="T12" s="95" t="s">
        <v>458</v>
      </c>
      <c r="U12" s="97" t="s">
        <v>458</v>
      </c>
      <c r="V12" s="39" t="s">
        <v>458</v>
      </c>
      <c r="W12" s="39" t="s">
        <v>458</v>
      </c>
      <c r="X12" s="39" t="s">
        <v>458</v>
      </c>
      <c r="Y12" s="97" t="s">
        <v>458</v>
      </c>
      <c r="Z12" s="118" t="s">
        <v>159</v>
      </c>
      <c r="AA12" s="63" t="s">
        <v>122</v>
      </c>
      <c r="AB12" s="63" t="s">
        <v>459</v>
      </c>
      <c r="AC12" s="53" t="s">
        <v>458</v>
      </c>
    </row>
    <row r="13" spans="1:29" ht="80" x14ac:dyDescent="0.2">
      <c r="A13" s="21">
        <v>5</v>
      </c>
      <c r="B13" s="29">
        <v>10</v>
      </c>
      <c r="C13" s="29" t="s">
        <v>42</v>
      </c>
      <c r="D13" s="91" t="s">
        <v>160</v>
      </c>
      <c r="E13" s="37" t="s">
        <v>120</v>
      </c>
      <c r="F13" s="318" t="s">
        <v>477</v>
      </c>
      <c r="G13" s="95" t="s">
        <v>458</v>
      </c>
      <c r="H13" s="95" t="s">
        <v>458</v>
      </c>
      <c r="I13" s="61" t="s">
        <v>458</v>
      </c>
      <c r="J13" s="61" t="s">
        <v>458</v>
      </c>
      <c r="K13" s="61" t="s">
        <v>458</v>
      </c>
      <c r="L13" s="95" t="s">
        <v>458</v>
      </c>
      <c r="M13" s="95" t="s">
        <v>458</v>
      </c>
      <c r="N13" s="95" t="s">
        <v>458</v>
      </c>
      <c r="O13" s="95" t="s">
        <v>458</v>
      </c>
      <c r="P13" s="95" t="s">
        <v>458</v>
      </c>
      <c r="Q13" s="95" t="s">
        <v>458</v>
      </c>
      <c r="R13" s="95" t="s">
        <v>458</v>
      </c>
      <c r="S13" s="95" t="s">
        <v>458</v>
      </c>
      <c r="T13" s="95" t="s">
        <v>458</v>
      </c>
      <c r="U13" s="97" t="s">
        <v>458</v>
      </c>
      <c r="V13" s="39" t="s">
        <v>458</v>
      </c>
      <c r="W13" s="39" t="s">
        <v>458</v>
      </c>
      <c r="X13" s="39" t="s">
        <v>458</v>
      </c>
      <c r="Y13" s="97" t="s">
        <v>458</v>
      </c>
      <c r="Z13" s="118" t="s">
        <v>159</v>
      </c>
      <c r="AA13" s="63" t="s">
        <v>122</v>
      </c>
      <c r="AB13" s="63" t="s">
        <v>459</v>
      </c>
      <c r="AC13" s="53" t="s">
        <v>458</v>
      </c>
    </row>
    <row r="14" spans="1:29" ht="80" x14ac:dyDescent="0.2">
      <c r="A14" s="21">
        <v>5</v>
      </c>
      <c r="B14" s="29">
        <v>11</v>
      </c>
      <c r="C14" s="29" t="s">
        <v>42</v>
      </c>
      <c r="D14" s="91" t="s">
        <v>160</v>
      </c>
      <c r="E14" s="37" t="s">
        <v>120</v>
      </c>
      <c r="F14" s="318" t="s">
        <v>477</v>
      </c>
      <c r="G14" s="95" t="s">
        <v>458</v>
      </c>
      <c r="H14" s="95" t="s">
        <v>458</v>
      </c>
      <c r="I14" s="61" t="s">
        <v>458</v>
      </c>
      <c r="J14" s="61" t="s">
        <v>458</v>
      </c>
      <c r="K14" s="61" t="s">
        <v>458</v>
      </c>
      <c r="L14" s="95" t="s">
        <v>458</v>
      </c>
      <c r="M14" s="95" t="s">
        <v>458</v>
      </c>
      <c r="N14" s="95" t="s">
        <v>458</v>
      </c>
      <c r="O14" s="95" t="s">
        <v>458</v>
      </c>
      <c r="P14" s="95" t="s">
        <v>458</v>
      </c>
      <c r="Q14" s="95" t="s">
        <v>458</v>
      </c>
      <c r="R14" s="95" t="s">
        <v>458</v>
      </c>
      <c r="S14" s="95" t="s">
        <v>458</v>
      </c>
      <c r="T14" s="95" t="s">
        <v>458</v>
      </c>
      <c r="U14" s="97" t="s">
        <v>458</v>
      </c>
      <c r="V14" s="39" t="s">
        <v>458</v>
      </c>
      <c r="W14" s="39" t="s">
        <v>458</v>
      </c>
      <c r="X14" s="39" t="s">
        <v>458</v>
      </c>
      <c r="Y14" s="97" t="s">
        <v>458</v>
      </c>
      <c r="Z14" s="118" t="s">
        <v>159</v>
      </c>
      <c r="AA14" s="63" t="s">
        <v>122</v>
      </c>
      <c r="AB14" s="63" t="s">
        <v>459</v>
      </c>
      <c r="AC14" s="53" t="s">
        <v>458</v>
      </c>
    </row>
    <row r="15" spans="1:29" ht="80" x14ac:dyDescent="0.2">
      <c r="A15" s="21">
        <v>5</v>
      </c>
      <c r="B15" s="29">
        <v>12</v>
      </c>
      <c r="C15" s="29" t="s">
        <v>42</v>
      </c>
      <c r="D15" s="91" t="s">
        <v>160</v>
      </c>
      <c r="E15" s="37" t="s">
        <v>120</v>
      </c>
      <c r="F15" s="318" t="s">
        <v>477</v>
      </c>
      <c r="G15" s="95" t="s">
        <v>458</v>
      </c>
      <c r="H15" s="95" t="s">
        <v>458</v>
      </c>
      <c r="I15" s="61" t="s">
        <v>458</v>
      </c>
      <c r="J15" s="61" t="s">
        <v>458</v>
      </c>
      <c r="K15" s="61" t="s">
        <v>458</v>
      </c>
      <c r="L15" s="95" t="s">
        <v>458</v>
      </c>
      <c r="M15" s="95" t="s">
        <v>458</v>
      </c>
      <c r="N15" s="95" t="s">
        <v>458</v>
      </c>
      <c r="O15" s="95" t="s">
        <v>458</v>
      </c>
      <c r="P15" s="95" t="s">
        <v>458</v>
      </c>
      <c r="Q15" s="95" t="s">
        <v>458</v>
      </c>
      <c r="R15" s="95" t="s">
        <v>458</v>
      </c>
      <c r="S15" s="95" t="s">
        <v>458</v>
      </c>
      <c r="T15" s="95" t="s">
        <v>458</v>
      </c>
      <c r="U15" s="97" t="s">
        <v>458</v>
      </c>
      <c r="V15" s="39" t="s">
        <v>458</v>
      </c>
      <c r="W15" s="39" t="s">
        <v>458</v>
      </c>
      <c r="X15" s="39" t="s">
        <v>458</v>
      </c>
      <c r="Y15" s="97" t="s">
        <v>458</v>
      </c>
      <c r="Z15" s="118" t="s">
        <v>159</v>
      </c>
      <c r="AA15" s="63" t="s">
        <v>122</v>
      </c>
      <c r="AB15" s="63" t="s">
        <v>459</v>
      </c>
      <c r="AC15" s="53" t="s">
        <v>458</v>
      </c>
    </row>
    <row r="16" spans="1:29" ht="80" x14ac:dyDescent="0.2">
      <c r="A16" s="21">
        <v>5</v>
      </c>
      <c r="B16" s="29">
        <v>13</v>
      </c>
      <c r="C16" s="29" t="s">
        <v>42</v>
      </c>
      <c r="D16" s="91" t="s">
        <v>160</v>
      </c>
      <c r="E16" s="37" t="s">
        <v>120</v>
      </c>
      <c r="F16" s="318" t="s">
        <v>477</v>
      </c>
      <c r="G16" s="95" t="s">
        <v>458</v>
      </c>
      <c r="H16" s="95" t="s">
        <v>458</v>
      </c>
      <c r="I16" s="61" t="s">
        <v>458</v>
      </c>
      <c r="J16" s="61" t="s">
        <v>458</v>
      </c>
      <c r="K16" s="61" t="s">
        <v>458</v>
      </c>
      <c r="L16" s="95" t="s">
        <v>458</v>
      </c>
      <c r="M16" s="95" t="s">
        <v>458</v>
      </c>
      <c r="N16" s="95" t="s">
        <v>458</v>
      </c>
      <c r="O16" s="95" t="s">
        <v>458</v>
      </c>
      <c r="P16" s="95" t="s">
        <v>458</v>
      </c>
      <c r="Q16" s="95" t="s">
        <v>458</v>
      </c>
      <c r="R16" s="95" t="s">
        <v>458</v>
      </c>
      <c r="S16" s="95" t="s">
        <v>458</v>
      </c>
      <c r="T16" s="95" t="s">
        <v>458</v>
      </c>
      <c r="U16" s="97" t="s">
        <v>458</v>
      </c>
      <c r="V16" s="39" t="s">
        <v>458</v>
      </c>
      <c r="W16" s="39" t="s">
        <v>458</v>
      </c>
      <c r="X16" s="39" t="s">
        <v>458</v>
      </c>
      <c r="Y16" s="97" t="s">
        <v>458</v>
      </c>
      <c r="Z16" s="118" t="s">
        <v>159</v>
      </c>
      <c r="AA16" s="63" t="s">
        <v>122</v>
      </c>
      <c r="AB16" s="63" t="s">
        <v>459</v>
      </c>
      <c r="AC16" s="53" t="s">
        <v>458</v>
      </c>
    </row>
    <row r="17" spans="1:29" ht="80" x14ac:dyDescent="0.2">
      <c r="A17" s="21">
        <v>5</v>
      </c>
      <c r="B17" s="29">
        <v>14</v>
      </c>
      <c r="C17" s="29" t="s">
        <v>42</v>
      </c>
      <c r="D17" s="91" t="s">
        <v>160</v>
      </c>
      <c r="E17" s="37" t="s">
        <v>120</v>
      </c>
      <c r="F17" s="318" t="s">
        <v>477</v>
      </c>
      <c r="G17" s="95" t="s">
        <v>458</v>
      </c>
      <c r="H17" s="95" t="s">
        <v>458</v>
      </c>
      <c r="I17" s="61" t="s">
        <v>458</v>
      </c>
      <c r="J17" s="61" t="s">
        <v>458</v>
      </c>
      <c r="K17" s="61" t="s">
        <v>458</v>
      </c>
      <c r="L17" s="95" t="s">
        <v>458</v>
      </c>
      <c r="M17" s="95" t="s">
        <v>458</v>
      </c>
      <c r="N17" s="95" t="s">
        <v>458</v>
      </c>
      <c r="O17" s="95" t="s">
        <v>458</v>
      </c>
      <c r="P17" s="95" t="s">
        <v>458</v>
      </c>
      <c r="Q17" s="95" t="s">
        <v>458</v>
      </c>
      <c r="R17" s="95" t="s">
        <v>458</v>
      </c>
      <c r="S17" s="95" t="s">
        <v>458</v>
      </c>
      <c r="T17" s="95" t="s">
        <v>458</v>
      </c>
      <c r="U17" s="97" t="s">
        <v>458</v>
      </c>
      <c r="V17" s="39" t="s">
        <v>458</v>
      </c>
      <c r="W17" s="39" t="s">
        <v>458</v>
      </c>
      <c r="X17" s="39" t="s">
        <v>458</v>
      </c>
      <c r="Y17" s="97" t="s">
        <v>458</v>
      </c>
      <c r="Z17" s="118" t="s">
        <v>159</v>
      </c>
      <c r="AA17" s="63" t="s">
        <v>122</v>
      </c>
      <c r="AB17" s="63" t="s">
        <v>459</v>
      </c>
      <c r="AC17" s="53" t="s">
        <v>458</v>
      </c>
    </row>
    <row r="18" spans="1:29" ht="80" x14ac:dyDescent="0.2">
      <c r="A18" s="21">
        <v>5</v>
      </c>
      <c r="B18" s="29">
        <v>15</v>
      </c>
      <c r="C18" s="29" t="s">
        <v>42</v>
      </c>
      <c r="D18" s="91" t="s">
        <v>160</v>
      </c>
      <c r="E18" s="37" t="s">
        <v>120</v>
      </c>
      <c r="F18" s="318" t="s">
        <v>477</v>
      </c>
      <c r="G18" s="95" t="s">
        <v>458</v>
      </c>
      <c r="H18" s="95" t="s">
        <v>458</v>
      </c>
      <c r="I18" s="61" t="s">
        <v>458</v>
      </c>
      <c r="J18" s="61" t="s">
        <v>458</v>
      </c>
      <c r="K18" s="61" t="s">
        <v>458</v>
      </c>
      <c r="L18" s="95" t="s">
        <v>458</v>
      </c>
      <c r="M18" s="95" t="s">
        <v>458</v>
      </c>
      <c r="N18" s="95" t="s">
        <v>458</v>
      </c>
      <c r="O18" s="95" t="s">
        <v>458</v>
      </c>
      <c r="P18" s="95" t="s">
        <v>458</v>
      </c>
      <c r="Q18" s="95" t="s">
        <v>458</v>
      </c>
      <c r="R18" s="95" t="s">
        <v>458</v>
      </c>
      <c r="S18" s="95" t="s">
        <v>458</v>
      </c>
      <c r="T18" s="95" t="s">
        <v>458</v>
      </c>
      <c r="U18" s="97" t="s">
        <v>458</v>
      </c>
      <c r="V18" s="39" t="s">
        <v>458</v>
      </c>
      <c r="W18" s="39" t="s">
        <v>458</v>
      </c>
      <c r="X18" s="39" t="s">
        <v>458</v>
      </c>
      <c r="Y18" s="97" t="s">
        <v>458</v>
      </c>
      <c r="Z18" s="118" t="s">
        <v>159</v>
      </c>
      <c r="AA18" s="63" t="s">
        <v>122</v>
      </c>
      <c r="AB18" s="63" t="s">
        <v>459</v>
      </c>
      <c r="AC18" s="53" t="s">
        <v>458</v>
      </c>
    </row>
    <row r="19" spans="1:29" ht="80" x14ac:dyDescent="0.2">
      <c r="A19" s="21">
        <v>5</v>
      </c>
      <c r="B19" s="29">
        <v>16</v>
      </c>
      <c r="C19" s="29" t="s">
        <v>42</v>
      </c>
      <c r="D19" s="91" t="s">
        <v>160</v>
      </c>
      <c r="E19" s="37" t="s">
        <v>120</v>
      </c>
      <c r="F19" s="318" t="s">
        <v>477</v>
      </c>
      <c r="G19" s="95" t="s">
        <v>458</v>
      </c>
      <c r="H19" s="95" t="s">
        <v>458</v>
      </c>
      <c r="I19" s="61" t="s">
        <v>458</v>
      </c>
      <c r="J19" s="61" t="s">
        <v>458</v>
      </c>
      <c r="K19" s="61" t="s">
        <v>458</v>
      </c>
      <c r="L19" s="95" t="s">
        <v>458</v>
      </c>
      <c r="M19" s="95" t="s">
        <v>458</v>
      </c>
      <c r="N19" s="95" t="s">
        <v>458</v>
      </c>
      <c r="O19" s="95" t="s">
        <v>458</v>
      </c>
      <c r="P19" s="95" t="s">
        <v>458</v>
      </c>
      <c r="Q19" s="95" t="s">
        <v>458</v>
      </c>
      <c r="R19" s="95" t="s">
        <v>458</v>
      </c>
      <c r="S19" s="95" t="s">
        <v>458</v>
      </c>
      <c r="T19" s="95" t="s">
        <v>458</v>
      </c>
      <c r="U19" s="97" t="s">
        <v>458</v>
      </c>
      <c r="V19" s="39" t="s">
        <v>458</v>
      </c>
      <c r="W19" s="39" t="s">
        <v>458</v>
      </c>
      <c r="X19" s="39" t="s">
        <v>458</v>
      </c>
      <c r="Y19" s="97" t="s">
        <v>458</v>
      </c>
      <c r="Z19" s="118" t="s">
        <v>159</v>
      </c>
      <c r="AA19" s="63" t="s">
        <v>122</v>
      </c>
      <c r="AB19" s="63" t="s">
        <v>459</v>
      </c>
      <c r="AC19" s="53" t="s">
        <v>458</v>
      </c>
    </row>
    <row r="20" spans="1:29" ht="80" x14ac:dyDescent="0.2">
      <c r="A20" s="21">
        <v>5</v>
      </c>
      <c r="B20" s="29">
        <v>17</v>
      </c>
      <c r="C20" s="29" t="s">
        <v>161</v>
      </c>
      <c r="D20" s="91" t="s">
        <v>160</v>
      </c>
      <c r="E20" s="37" t="s">
        <v>120</v>
      </c>
      <c r="F20" s="318" t="s">
        <v>477</v>
      </c>
      <c r="G20" s="95" t="s">
        <v>458</v>
      </c>
      <c r="H20" s="95" t="s">
        <v>458</v>
      </c>
      <c r="I20" s="61" t="s">
        <v>458</v>
      </c>
      <c r="J20" s="61" t="s">
        <v>458</v>
      </c>
      <c r="K20" s="61" t="s">
        <v>458</v>
      </c>
      <c r="L20" s="95" t="s">
        <v>458</v>
      </c>
      <c r="M20" s="95" t="s">
        <v>458</v>
      </c>
      <c r="N20" s="95" t="s">
        <v>458</v>
      </c>
      <c r="O20" s="95" t="s">
        <v>458</v>
      </c>
      <c r="P20" s="95" t="s">
        <v>458</v>
      </c>
      <c r="Q20" s="95" t="s">
        <v>458</v>
      </c>
      <c r="R20" s="95" t="s">
        <v>458</v>
      </c>
      <c r="S20" s="95" t="s">
        <v>458</v>
      </c>
      <c r="T20" s="95" t="s">
        <v>458</v>
      </c>
      <c r="U20" s="97" t="s">
        <v>458</v>
      </c>
      <c r="V20" s="39" t="s">
        <v>458</v>
      </c>
      <c r="W20" s="39" t="s">
        <v>458</v>
      </c>
      <c r="X20" s="39" t="s">
        <v>458</v>
      </c>
      <c r="Y20" s="97" t="s">
        <v>458</v>
      </c>
      <c r="Z20" s="118" t="s">
        <v>159</v>
      </c>
      <c r="AA20" s="63" t="s">
        <v>122</v>
      </c>
      <c r="AB20" s="63" t="s">
        <v>459</v>
      </c>
      <c r="AC20" s="53" t="s">
        <v>458</v>
      </c>
    </row>
    <row r="21" spans="1:29" ht="80" x14ac:dyDescent="0.2">
      <c r="A21" s="21">
        <v>5</v>
      </c>
      <c r="B21" s="29">
        <v>18</v>
      </c>
      <c r="C21" s="29" t="s">
        <v>43</v>
      </c>
      <c r="D21" s="91" t="s">
        <v>160</v>
      </c>
      <c r="E21" s="37" t="s">
        <v>120</v>
      </c>
      <c r="F21" s="318" t="s">
        <v>477</v>
      </c>
      <c r="G21" s="95" t="s">
        <v>458</v>
      </c>
      <c r="H21" s="95" t="s">
        <v>458</v>
      </c>
      <c r="I21" s="61" t="s">
        <v>458</v>
      </c>
      <c r="J21" s="61" t="s">
        <v>458</v>
      </c>
      <c r="K21" s="61" t="s">
        <v>458</v>
      </c>
      <c r="L21" s="95" t="s">
        <v>458</v>
      </c>
      <c r="M21" s="95" t="s">
        <v>458</v>
      </c>
      <c r="N21" s="95" t="s">
        <v>458</v>
      </c>
      <c r="O21" s="95" t="s">
        <v>458</v>
      </c>
      <c r="P21" s="95" t="s">
        <v>458</v>
      </c>
      <c r="Q21" s="95" t="s">
        <v>458</v>
      </c>
      <c r="R21" s="95" t="s">
        <v>458</v>
      </c>
      <c r="S21" s="95" t="s">
        <v>458</v>
      </c>
      <c r="T21" s="95" t="s">
        <v>458</v>
      </c>
      <c r="U21" s="97" t="s">
        <v>458</v>
      </c>
      <c r="V21" s="39" t="s">
        <v>458</v>
      </c>
      <c r="W21" s="39" t="s">
        <v>458</v>
      </c>
      <c r="X21" s="39" t="s">
        <v>458</v>
      </c>
      <c r="Y21" s="97" t="s">
        <v>458</v>
      </c>
      <c r="Z21" s="118" t="s">
        <v>159</v>
      </c>
      <c r="AA21" s="63" t="s">
        <v>122</v>
      </c>
      <c r="AB21" s="63" t="s">
        <v>459</v>
      </c>
      <c r="AC21" s="53" t="s">
        <v>458</v>
      </c>
    </row>
    <row r="22" spans="1:29" ht="80" x14ac:dyDescent="0.2">
      <c r="A22" s="21">
        <v>5</v>
      </c>
      <c r="B22" s="29">
        <v>19</v>
      </c>
      <c r="C22" s="29" t="s">
        <v>43</v>
      </c>
      <c r="D22" s="91" t="s">
        <v>160</v>
      </c>
      <c r="E22" s="37" t="s">
        <v>120</v>
      </c>
      <c r="F22" s="318" t="s">
        <v>477</v>
      </c>
      <c r="G22" s="95" t="s">
        <v>458</v>
      </c>
      <c r="H22" s="95" t="s">
        <v>458</v>
      </c>
      <c r="I22" s="61" t="s">
        <v>458</v>
      </c>
      <c r="J22" s="61" t="s">
        <v>458</v>
      </c>
      <c r="K22" s="61" t="s">
        <v>458</v>
      </c>
      <c r="L22" s="95" t="s">
        <v>458</v>
      </c>
      <c r="M22" s="95" t="s">
        <v>458</v>
      </c>
      <c r="N22" s="95" t="s">
        <v>458</v>
      </c>
      <c r="O22" s="95" t="s">
        <v>458</v>
      </c>
      <c r="P22" s="95" t="s">
        <v>458</v>
      </c>
      <c r="Q22" s="95" t="s">
        <v>458</v>
      </c>
      <c r="R22" s="95" t="s">
        <v>458</v>
      </c>
      <c r="S22" s="95" t="s">
        <v>458</v>
      </c>
      <c r="T22" s="95" t="s">
        <v>458</v>
      </c>
      <c r="U22" s="97" t="s">
        <v>458</v>
      </c>
      <c r="V22" s="39" t="s">
        <v>458</v>
      </c>
      <c r="W22" s="39" t="s">
        <v>458</v>
      </c>
      <c r="X22" s="39" t="s">
        <v>458</v>
      </c>
      <c r="Y22" s="97" t="s">
        <v>458</v>
      </c>
      <c r="Z22" s="118" t="s">
        <v>159</v>
      </c>
      <c r="AA22" s="63" t="s">
        <v>122</v>
      </c>
      <c r="AB22" s="63" t="s">
        <v>459</v>
      </c>
      <c r="AC22" s="53" t="s">
        <v>458</v>
      </c>
    </row>
    <row r="23" spans="1:29" ht="80" x14ac:dyDescent="0.2">
      <c r="A23" s="21">
        <v>5</v>
      </c>
      <c r="B23" s="29">
        <v>20</v>
      </c>
      <c r="C23" s="29" t="s">
        <v>43</v>
      </c>
      <c r="D23" s="91" t="s">
        <v>160</v>
      </c>
      <c r="E23" s="37" t="s">
        <v>120</v>
      </c>
      <c r="F23" s="318" t="s">
        <v>477</v>
      </c>
      <c r="G23" s="95" t="s">
        <v>458</v>
      </c>
      <c r="H23" s="95" t="s">
        <v>458</v>
      </c>
      <c r="I23" s="61" t="s">
        <v>458</v>
      </c>
      <c r="J23" s="61" t="s">
        <v>458</v>
      </c>
      <c r="K23" s="61" t="s">
        <v>458</v>
      </c>
      <c r="L23" s="95" t="s">
        <v>458</v>
      </c>
      <c r="M23" s="95" t="s">
        <v>458</v>
      </c>
      <c r="N23" s="95" t="s">
        <v>458</v>
      </c>
      <c r="O23" s="95" t="s">
        <v>458</v>
      </c>
      <c r="P23" s="95" t="s">
        <v>458</v>
      </c>
      <c r="Q23" s="95" t="s">
        <v>458</v>
      </c>
      <c r="R23" s="95" t="s">
        <v>458</v>
      </c>
      <c r="S23" s="95" t="s">
        <v>458</v>
      </c>
      <c r="T23" s="95" t="s">
        <v>458</v>
      </c>
      <c r="U23" s="97" t="s">
        <v>458</v>
      </c>
      <c r="V23" s="39" t="s">
        <v>458</v>
      </c>
      <c r="W23" s="39" t="s">
        <v>458</v>
      </c>
      <c r="X23" s="39" t="s">
        <v>458</v>
      </c>
      <c r="Y23" s="97" t="s">
        <v>458</v>
      </c>
      <c r="Z23" s="118" t="s">
        <v>159</v>
      </c>
      <c r="AA23" s="63" t="s">
        <v>122</v>
      </c>
      <c r="AB23" s="63" t="s">
        <v>459</v>
      </c>
      <c r="AC23" s="53" t="s">
        <v>458</v>
      </c>
    </row>
    <row r="24" spans="1:29" ht="80" x14ac:dyDescent="0.2">
      <c r="A24" s="21">
        <v>5</v>
      </c>
      <c r="B24" s="29">
        <v>21</v>
      </c>
      <c r="C24" s="29" t="s">
        <v>43</v>
      </c>
      <c r="D24" s="91" t="s">
        <v>160</v>
      </c>
      <c r="E24" s="37" t="s">
        <v>120</v>
      </c>
      <c r="F24" s="318" t="s">
        <v>477</v>
      </c>
      <c r="G24" s="95" t="s">
        <v>458</v>
      </c>
      <c r="H24" s="95" t="s">
        <v>458</v>
      </c>
      <c r="I24" s="61" t="s">
        <v>458</v>
      </c>
      <c r="J24" s="61" t="s">
        <v>458</v>
      </c>
      <c r="K24" s="61" t="s">
        <v>458</v>
      </c>
      <c r="L24" s="95" t="s">
        <v>458</v>
      </c>
      <c r="M24" s="95" t="s">
        <v>458</v>
      </c>
      <c r="N24" s="95" t="s">
        <v>458</v>
      </c>
      <c r="O24" s="95" t="s">
        <v>458</v>
      </c>
      <c r="P24" s="95" t="s">
        <v>458</v>
      </c>
      <c r="Q24" s="95" t="s">
        <v>458</v>
      </c>
      <c r="R24" s="95" t="s">
        <v>458</v>
      </c>
      <c r="S24" s="95" t="s">
        <v>458</v>
      </c>
      <c r="T24" s="95" t="s">
        <v>458</v>
      </c>
      <c r="U24" s="97" t="s">
        <v>458</v>
      </c>
      <c r="V24" s="39" t="s">
        <v>458</v>
      </c>
      <c r="W24" s="39" t="s">
        <v>458</v>
      </c>
      <c r="X24" s="39" t="s">
        <v>458</v>
      </c>
      <c r="Y24" s="97" t="s">
        <v>458</v>
      </c>
      <c r="Z24" s="118" t="s">
        <v>159</v>
      </c>
      <c r="AA24" s="63" t="s">
        <v>122</v>
      </c>
      <c r="AB24" s="63" t="s">
        <v>459</v>
      </c>
      <c r="AC24" s="53" t="s">
        <v>458</v>
      </c>
    </row>
    <row r="25" spans="1:29" ht="80" x14ac:dyDescent="0.2">
      <c r="A25" s="21">
        <v>5</v>
      </c>
      <c r="B25" s="29">
        <v>22</v>
      </c>
      <c r="C25" s="29" t="s">
        <v>43</v>
      </c>
      <c r="D25" s="91" t="s">
        <v>160</v>
      </c>
      <c r="E25" s="37" t="s">
        <v>120</v>
      </c>
      <c r="F25" s="318" t="s">
        <v>477</v>
      </c>
      <c r="G25" s="95" t="s">
        <v>458</v>
      </c>
      <c r="H25" s="95" t="s">
        <v>458</v>
      </c>
      <c r="I25" s="61" t="s">
        <v>458</v>
      </c>
      <c r="J25" s="61" t="s">
        <v>458</v>
      </c>
      <c r="K25" s="61" t="s">
        <v>458</v>
      </c>
      <c r="L25" s="95" t="s">
        <v>458</v>
      </c>
      <c r="M25" s="95" t="s">
        <v>458</v>
      </c>
      <c r="N25" s="95" t="s">
        <v>458</v>
      </c>
      <c r="O25" s="95" t="s">
        <v>458</v>
      </c>
      <c r="P25" s="95" t="s">
        <v>458</v>
      </c>
      <c r="Q25" s="95" t="s">
        <v>458</v>
      </c>
      <c r="R25" s="95" t="s">
        <v>458</v>
      </c>
      <c r="S25" s="95" t="s">
        <v>458</v>
      </c>
      <c r="T25" s="95" t="s">
        <v>458</v>
      </c>
      <c r="U25" s="97" t="s">
        <v>458</v>
      </c>
      <c r="V25" s="39" t="s">
        <v>458</v>
      </c>
      <c r="W25" s="39" t="s">
        <v>458</v>
      </c>
      <c r="X25" s="39" t="s">
        <v>458</v>
      </c>
      <c r="Y25" s="97" t="s">
        <v>458</v>
      </c>
      <c r="Z25" s="118" t="s">
        <v>159</v>
      </c>
      <c r="AA25" s="63" t="s">
        <v>122</v>
      </c>
      <c r="AB25" s="63" t="s">
        <v>459</v>
      </c>
      <c r="AC25" s="53" t="s">
        <v>458</v>
      </c>
    </row>
    <row r="26" spans="1:29" ht="80" x14ac:dyDescent="0.2">
      <c r="A26" s="21">
        <v>5</v>
      </c>
      <c r="B26" s="29">
        <v>23</v>
      </c>
      <c r="C26" s="29" t="s">
        <v>43</v>
      </c>
      <c r="D26" s="91" t="s">
        <v>160</v>
      </c>
      <c r="E26" s="37" t="s">
        <v>120</v>
      </c>
      <c r="F26" s="318" t="s">
        <v>477</v>
      </c>
      <c r="G26" s="95" t="s">
        <v>458</v>
      </c>
      <c r="H26" s="95" t="s">
        <v>458</v>
      </c>
      <c r="I26" s="61" t="s">
        <v>458</v>
      </c>
      <c r="J26" s="61" t="s">
        <v>458</v>
      </c>
      <c r="K26" s="61" t="s">
        <v>458</v>
      </c>
      <c r="L26" s="95" t="s">
        <v>458</v>
      </c>
      <c r="M26" s="95" t="s">
        <v>458</v>
      </c>
      <c r="N26" s="95" t="s">
        <v>458</v>
      </c>
      <c r="O26" s="95" t="s">
        <v>458</v>
      </c>
      <c r="P26" s="95" t="s">
        <v>458</v>
      </c>
      <c r="Q26" s="95" t="s">
        <v>458</v>
      </c>
      <c r="R26" s="95" t="s">
        <v>458</v>
      </c>
      <c r="S26" s="95" t="s">
        <v>458</v>
      </c>
      <c r="T26" s="95" t="s">
        <v>458</v>
      </c>
      <c r="U26" s="97" t="s">
        <v>458</v>
      </c>
      <c r="V26" s="39" t="s">
        <v>458</v>
      </c>
      <c r="W26" s="39" t="s">
        <v>458</v>
      </c>
      <c r="X26" s="39" t="s">
        <v>458</v>
      </c>
      <c r="Y26" s="97" t="s">
        <v>458</v>
      </c>
      <c r="Z26" s="118" t="s">
        <v>159</v>
      </c>
      <c r="AA26" s="63" t="s">
        <v>122</v>
      </c>
      <c r="AB26" s="63" t="s">
        <v>459</v>
      </c>
      <c r="AC26" s="53" t="s">
        <v>458</v>
      </c>
    </row>
    <row r="27" spans="1:29" ht="80" x14ac:dyDescent="0.2">
      <c r="A27" s="21">
        <v>5</v>
      </c>
      <c r="B27" s="29">
        <v>24</v>
      </c>
      <c r="C27" s="29" t="s">
        <v>43</v>
      </c>
      <c r="D27" s="91" t="s">
        <v>160</v>
      </c>
      <c r="E27" s="37" t="s">
        <v>120</v>
      </c>
      <c r="F27" s="318" t="s">
        <v>477</v>
      </c>
      <c r="G27" s="95" t="s">
        <v>458</v>
      </c>
      <c r="H27" s="95" t="s">
        <v>458</v>
      </c>
      <c r="I27" s="61" t="s">
        <v>458</v>
      </c>
      <c r="J27" s="61" t="s">
        <v>458</v>
      </c>
      <c r="K27" s="61" t="s">
        <v>458</v>
      </c>
      <c r="L27" s="95" t="s">
        <v>458</v>
      </c>
      <c r="M27" s="95" t="s">
        <v>458</v>
      </c>
      <c r="N27" s="95" t="s">
        <v>458</v>
      </c>
      <c r="O27" s="95" t="s">
        <v>458</v>
      </c>
      <c r="P27" s="95" t="s">
        <v>458</v>
      </c>
      <c r="Q27" s="95" t="s">
        <v>458</v>
      </c>
      <c r="R27" s="95" t="s">
        <v>458</v>
      </c>
      <c r="S27" s="95" t="s">
        <v>458</v>
      </c>
      <c r="T27" s="95" t="s">
        <v>458</v>
      </c>
      <c r="U27" s="97" t="s">
        <v>458</v>
      </c>
      <c r="V27" s="39" t="s">
        <v>458</v>
      </c>
      <c r="W27" s="39" t="s">
        <v>458</v>
      </c>
      <c r="X27" s="39" t="s">
        <v>458</v>
      </c>
      <c r="Y27" s="97" t="s">
        <v>458</v>
      </c>
      <c r="Z27" s="118" t="s">
        <v>159</v>
      </c>
      <c r="AA27" s="63" t="s">
        <v>122</v>
      </c>
      <c r="AB27" s="63" t="s">
        <v>459</v>
      </c>
      <c r="AC27" s="53" t="s">
        <v>458</v>
      </c>
    </row>
    <row r="28" spans="1:29" ht="80" x14ac:dyDescent="0.2">
      <c r="A28" s="21">
        <v>5</v>
      </c>
      <c r="B28" s="29">
        <v>25</v>
      </c>
      <c r="C28" s="29" t="s">
        <v>162</v>
      </c>
      <c r="D28" s="91" t="s">
        <v>160</v>
      </c>
      <c r="E28" s="37" t="s">
        <v>120</v>
      </c>
      <c r="F28" s="259" t="s">
        <v>428</v>
      </c>
      <c r="G28" s="95" t="s">
        <v>458</v>
      </c>
      <c r="H28" s="95" t="s">
        <v>458</v>
      </c>
      <c r="I28" s="61" t="s">
        <v>458</v>
      </c>
      <c r="J28" s="61" t="s">
        <v>458</v>
      </c>
      <c r="K28" s="61" t="s">
        <v>458</v>
      </c>
      <c r="L28" s="95" t="s">
        <v>458</v>
      </c>
      <c r="M28" s="95" t="s">
        <v>458</v>
      </c>
      <c r="N28" s="95" t="s">
        <v>458</v>
      </c>
      <c r="O28" s="95" t="s">
        <v>458</v>
      </c>
      <c r="P28" s="95" t="s">
        <v>458</v>
      </c>
      <c r="Q28" s="95" t="s">
        <v>458</v>
      </c>
      <c r="R28" s="95" t="s">
        <v>458</v>
      </c>
      <c r="S28" s="95" t="s">
        <v>458</v>
      </c>
      <c r="T28" s="95" t="s">
        <v>458</v>
      </c>
      <c r="U28" s="97" t="s">
        <v>458</v>
      </c>
      <c r="V28" s="39" t="s">
        <v>458</v>
      </c>
      <c r="W28" s="39" t="s">
        <v>458</v>
      </c>
      <c r="X28" s="39" t="s">
        <v>458</v>
      </c>
      <c r="Y28" s="97" t="s">
        <v>458</v>
      </c>
      <c r="Z28" s="118" t="s">
        <v>159</v>
      </c>
      <c r="AA28" s="259" t="s">
        <v>439</v>
      </c>
      <c r="AB28" s="259" t="s">
        <v>459</v>
      </c>
      <c r="AC28" s="53" t="s">
        <v>458</v>
      </c>
    </row>
    <row r="29" spans="1:29" ht="80" x14ac:dyDescent="0.2">
      <c r="A29" s="21">
        <v>5</v>
      </c>
      <c r="B29" s="29">
        <v>26</v>
      </c>
      <c r="C29" s="29" t="s">
        <v>44</v>
      </c>
      <c r="D29" s="91" t="s">
        <v>160</v>
      </c>
      <c r="E29" s="37" t="s">
        <v>120</v>
      </c>
      <c r="F29" s="259" t="s">
        <v>428</v>
      </c>
      <c r="G29" s="95" t="s">
        <v>458</v>
      </c>
      <c r="H29" s="95" t="s">
        <v>458</v>
      </c>
      <c r="I29" s="61" t="s">
        <v>458</v>
      </c>
      <c r="J29" s="61" t="s">
        <v>458</v>
      </c>
      <c r="K29" s="61" t="s">
        <v>458</v>
      </c>
      <c r="L29" s="95" t="s">
        <v>458</v>
      </c>
      <c r="M29" s="95" t="s">
        <v>458</v>
      </c>
      <c r="N29" s="95" t="s">
        <v>458</v>
      </c>
      <c r="O29" s="95" t="s">
        <v>458</v>
      </c>
      <c r="P29" s="95" t="s">
        <v>458</v>
      </c>
      <c r="Q29" s="95" t="s">
        <v>458</v>
      </c>
      <c r="R29" s="95" t="s">
        <v>458</v>
      </c>
      <c r="S29" s="95" t="s">
        <v>458</v>
      </c>
      <c r="T29" s="95" t="s">
        <v>458</v>
      </c>
      <c r="U29" s="97" t="s">
        <v>458</v>
      </c>
      <c r="V29" s="39" t="s">
        <v>458</v>
      </c>
      <c r="W29" s="39" t="s">
        <v>458</v>
      </c>
      <c r="X29" s="39" t="s">
        <v>458</v>
      </c>
      <c r="Y29" s="97" t="s">
        <v>458</v>
      </c>
      <c r="Z29" s="118" t="s">
        <v>159</v>
      </c>
      <c r="AA29" s="259" t="s">
        <v>439</v>
      </c>
      <c r="AB29" s="259" t="s">
        <v>459</v>
      </c>
      <c r="AC29" s="53" t="s">
        <v>458</v>
      </c>
    </row>
    <row r="30" spans="1:29" ht="80" x14ac:dyDescent="0.2">
      <c r="A30" s="21">
        <v>5</v>
      </c>
      <c r="B30" s="29">
        <v>27</v>
      </c>
      <c r="C30" s="29" t="s">
        <v>44</v>
      </c>
      <c r="D30" s="91" t="s">
        <v>160</v>
      </c>
      <c r="E30" s="37" t="s">
        <v>120</v>
      </c>
      <c r="F30" s="259" t="s">
        <v>428</v>
      </c>
      <c r="G30" s="95" t="s">
        <v>458</v>
      </c>
      <c r="H30" s="95" t="s">
        <v>458</v>
      </c>
      <c r="I30" s="61" t="s">
        <v>458</v>
      </c>
      <c r="J30" s="61" t="s">
        <v>458</v>
      </c>
      <c r="K30" s="61" t="s">
        <v>458</v>
      </c>
      <c r="L30" s="95" t="s">
        <v>458</v>
      </c>
      <c r="M30" s="95" t="s">
        <v>458</v>
      </c>
      <c r="N30" s="95" t="s">
        <v>458</v>
      </c>
      <c r="O30" s="95" t="s">
        <v>458</v>
      </c>
      <c r="P30" s="95" t="s">
        <v>458</v>
      </c>
      <c r="Q30" s="95" t="s">
        <v>458</v>
      </c>
      <c r="R30" s="95" t="s">
        <v>458</v>
      </c>
      <c r="S30" s="95" t="s">
        <v>458</v>
      </c>
      <c r="T30" s="95" t="s">
        <v>458</v>
      </c>
      <c r="U30" s="97" t="s">
        <v>458</v>
      </c>
      <c r="V30" s="39" t="s">
        <v>458</v>
      </c>
      <c r="W30" s="39" t="s">
        <v>458</v>
      </c>
      <c r="X30" s="39" t="s">
        <v>458</v>
      </c>
      <c r="Y30" s="97" t="s">
        <v>458</v>
      </c>
      <c r="Z30" s="118" t="s">
        <v>159</v>
      </c>
      <c r="AA30" s="259" t="s">
        <v>439</v>
      </c>
      <c r="AB30" s="259" t="s">
        <v>459</v>
      </c>
      <c r="AC30" s="53" t="s">
        <v>458</v>
      </c>
    </row>
    <row r="31" spans="1:29" ht="80" x14ac:dyDescent="0.2">
      <c r="A31" s="21">
        <v>5</v>
      </c>
      <c r="B31" s="29">
        <v>28</v>
      </c>
      <c r="C31" s="29" t="s">
        <v>44</v>
      </c>
      <c r="D31" s="91" t="s">
        <v>160</v>
      </c>
      <c r="E31" s="37" t="s">
        <v>120</v>
      </c>
      <c r="F31" s="259" t="s">
        <v>428</v>
      </c>
      <c r="G31" s="95" t="s">
        <v>458</v>
      </c>
      <c r="H31" s="95" t="s">
        <v>458</v>
      </c>
      <c r="I31" s="61" t="s">
        <v>458</v>
      </c>
      <c r="J31" s="61" t="s">
        <v>458</v>
      </c>
      <c r="K31" s="61" t="s">
        <v>458</v>
      </c>
      <c r="L31" s="95" t="s">
        <v>458</v>
      </c>
      <c r="M31" s="95" t="s">
        <v>458</v>
      </c>
      <c r="N31" s="95" t="s">
        <v>458</v>
      </c>
      <c r="O31" s="95" t="s">
        <v>458</v>
      </c>
      <c r="P31" s="95" t="s">
        <v>458</v>
      </c>
      <c r="Q31" s="95" t="s">
        <v>458</v>
      </c>
      <c r="R31" s="95" t="s">
        <v>458</v>
      </c>
      <c r="S31" s="95" t="s">
        <v>458</v>
      </c>
      <c r="T31" s="95" t="s">
        <v>458</v>
      </c>
      <c r="U31" s="97" t="s">
        <v>458</v>
      </c>
      <c r="V31" s="39" t="s">
        <v>458</v>
      </c>
      <c r="W31" s="39" t="s">
        <v>458</v>
      </c>
      <c r="X31" s="39" t="s">
        <v>458</v>
      </c>
      <c r="Y31" s="97" t="s">
        <v>458</v>
      </c>
      <c r="Z31" s="118" t="s">
        <v>159</v>
      </c>
      <c r="AA31" s="259" t="s">
        <v>439</v>
      </c>
      <c r="AB31" s="259" t="s">
        <v>459</v>
      </c>
      <c r="AC31" s="53" t="s">
        <v>458</v>
      </c>
    </row>
    <row r="32" spans="1:29" ht="80" x14ac:dyDescent="0.2">
      <c r="A32" s="21">
        <v>5</v>
      </c>
      <c r="B32" s="29">
        <v>29</v>
      </c>
      <c r="C32" s="29" t="s">
        <v>44</v>
      </c>
      <c r="D32" s="91" t="s">
        <v>160</v>
      </c>
      <c r="E32" s="37" t="s">
        <v>120</v>
      </c>
      <c r="F32" s="259" t="s">
        <v>428</v>
      </c>
      <c r="G32" s="95" t="s">
        <v>458</v>
      </c>
      <c r="H32" s="95" t="s">
        <v>458</v>
      </c>
      <c r="I32" s="61" t="s">
        <v>458</v>
      </c>
      <c r="J32" s="61" t="s">
        <v>458</v>
      </c>
      <c r="K32" s="61" t="s">
        <v>458</v>
      </c>
      <c r="L32" s="95" t="s">
        <v>458</v>
      </c>
      <c r="M32" s="95" t="s">
        <v>458</v>
      </c>
      <c r="N32" s="95" t="s">
        <v>458</v>
      </c>
      <c r="O32" s="95" t="s">
        <v>458</v>
      </c>
      <c r="P32" s="95" t="s">
        <v>458</v>
      </c>
      <c r="Q32" s="95" t="s">
        <v>458</v>
      </c>
      <c r="R32" s="95" t="s">
        <v>458</v>
      </c>
      <c r="S32" s="95" t="s">
        <v>458</v>
      </c>
      <c r="T32" s="95" t="s">
        <v>458</v>
      </c>
      <c r="U32" s="97" t="s">
        <v>458</v>
      </c>
      <c r="V32" s="39" t="s">
        <v>458</v>
      </c>
      <c r="W32" s="39" t="s">
        <v>458</v>
      </c>
      <c r="X32" s="39" t="s">
        <v>458</v>
      </c>
      <c r="Y32" s="97" t="s">
        <v>458</v>
      </c>
      <c r="Z32" s="118" t="s">
        <v>159</v>
      </c>
      <c r="AA32" s="259" t="s">
        <v>439</v>
      </c>
      <c r="AB32" s="259" t="s">
        <v>459</v>
      </c>
      <c r="AC32" s="53" t="s">
        <v>458</v>
      </c>
    </row>
    <row r="33" spans="1:29" ht="80" x14ac:dyDescent="0.2">
      <c r="A33" s="21">
        <v>5</v>
      </c>
      <c r="B33" s="29">
        <v>30</v>
      </c>
      <c r="C33" s="29" t="s">
        <v>44</v>
      </c>
      <c r="D33" s="91" t="s">
        <v>160</v>
      </c>
      <c r="E33" s="37" t="s">
        <v>120</v>
      </c>
      <c r="F33" s="259" t="s">
        <v>428</v>
      </c>
      <c r="G33" s="95" t="s">
        <v>458</v>
      </c>
      <c r="H33" s="95" t="s">
        <v>458</v>
      </c>
      <c r="I33" s="61" t="s">
        <v>458</v>
      </c>
      <c r="J33" s="61" t="s">
        <v>458</v>
      </c>
      <c r="K33" s="61" t="s">
        <v>458</v>
      </c>
      <c r="L33" s="95" t="s">
        <v>458</v>
      </c>
      <c r="M33" s="95" t="s">
        <v>458</v>
      </c>
      <c r="N33" s="95" t="s">
        <v>458</v>
      </c>
      <c r="O33" s="95" t="s">
        <v>458</v>
      </c>
      <c r="P33" s="95" t="s">
        <v>458</v>
      </c>
      <c r="Q33" s="95" t="s">
        <v>458</v>
      </c>
      <c r="R33" s="95" t="s">
        <v>458</v>
      </c>
      <c r="S33" s="95" t="s">
        <v>458</v>
      </c>
      <c r="T33" s="95" t="s">
        <v>458</v>
      </c>
      <c r="U33" s="97" t="s">
        <v>458</v>
      </c>
      <c r="V33" s="39" t="s">
        <v>458</v>
      </c>
      <c r="W33" s="39" t="s">
        <v>458</v>
      </c>
      <c r="X33" s="39" t="s">
        <v>458</v>
      </c>
      <c r="Y33" s="97" t="s">
        <v>458</v>
      </c>
      <c r="Z33" s="118" t="s">
        <v>159</v>
      </c>
      <c r="AA33" s="259" t="s">
        <v>439</v>
      </c>
      <c r="AB33" s="259" t="s">
        <v>459</v>
      </c>
      <c r="AC33" s="53" t="s">
        <v>458</v>
      </c>
    </row>
    <row r="34" spans="1:29" ht="80" x14ac:dyDescent="0.2">
      <c r="A34" s="21">
        <v>5</v>
      </c>
      <c r="B34" s="29">
        <v>31</v>
      </c>
      <c r="C34" s="29" t="s">
        <v>44</v>
      </c>
      <c r="D34" s="91" t="s">
        <v>160</v>
      </c>
      <c r="E34" s="37" t="s">
        <v>120</v>
      </c>
      <c r="F34" s="259" t="s">
        <v>428</v>
      </c>
      <c r="G34" s="95" t="s">
        <v>458</v>
      </c>
      <c r="H34" s="95" t="s">
        <v>458</v>
      </c>
      <c r="I34" s="61" t="s">
        <v>458</v>
      </c>
      <c r="J34" s="61" t="s">
        <v>458</v>
      </c>
      <c r="K34" s="61" t="s">
        <v>458</v>
      </c>
      <c r="L34" s="95" t="s">
        <v>458</v>
      </c>
      <c r="M34" s="95" t="s">
        <v>458</v>
      </c>
      <c r="N34" s="95" t="s">
        <v>458</v>
      </c>
      <c r="O34" s="95" t="s">
        <v>458</v>
      </c>
      <c r="P34" s="95" t="s">
        <v>458</v>
      </c>
      <c r="Q34" s="95" t="s">
        <v>458</v>
      </c>
      <c r="R34" s="95" t="s">
        <v>458</v>
      </c>
      <c r="S34" s="95" t="s">
        <v>458</v>
      </c>
      <c r="T34" s="95" t="s">
        <v>458</v>
      </c>
      <c r="U34" s="97" t="s">
        <v>458</v>
      </c>
      <c r="V34" s="39" t="s">
        <v>458</v>
      </c>
      <c r="W34" s="39" t="s">
        <v>458</v>
      </c>
      <c r="X34" s="39" t="s">
        <v>458</v>
      </c>
      <c r="Y34" s="97" t="s">
        <v>458</v>
      </c>
      <c r="Z34" s="118" t="s">
        <v>159</v>
      </c>
      <c r="AA34" s="259" t="s">
        <v>439</v>
      </c>
      <c r="AB34" s="259" t="s">
        <v>459</v>
      </c>
      <c r="AC34" s="53" t="s">
        <v>458</v>
      </c>
    </row>
    <row r="35" spans="1:29" ht="80" x14ac:dyDescent="0.2">
      <c r="A35" s="21">
        <v>5</v>
      </c>
      <c r="B35" s="29">
        <v>32</v>
      </c>
      <c r="C35" s="29" t="s">
        <v>44</v>
      </c>
      <c r="D35" s="91" t="s">
        <v>160</v>
      </c>
      <c r="E35" s="37" t="s">
        <v>120</v>
      </c>
      <c r="F35" s="259" t="s">
        <v>428</v>
      </c>
      <c r="G35" s="95" t="s">
        <v>458</v>
      </c>
      <c r="H35" s="95" t="s">
        <v>458</v>
      </c>
      <c r="I35" s="61" t="s">
        <v>458</v>
      </c>
      <c r="J35" s="61" t="s">
        <v>458</v>
      </c>
      <c r="K35" s="61" t="s">
        <v>458</v>
      </c>
      <c r="L35" s="95" t="s">
        <v>458</v>
      </c>
      <c r="M35" s="95" t="s">
        <v>458</v>
      </c>
      <c r="N35" s="95" t="s">
        <v>458</v>
      </c>
      <c r="O35" s="95" t="s">
        <v>458</v>
      </c>
      <c r="P35" s="95" t="s">
        <v>458</v>
      </c>
      <c r="Q35" s="95" t="s">
        <v>458</v>
      </c>
      <c r="R35" s="95" t="s">
        <v>458</v>
      </c>
      <c r="S35" s="95" t="s">
        <v>458</v>
      </c>
      <c r="T35" s="95" t="s">
        <v>458</v>
      </c>
      <c r="U35" s="97" t="s">
        <v>458</v>
      </c>
      <c r="V35" s="39" t="s">
        <v>458</v>
      </c>
      <c r="W35" s="39" t="s">
        <v>458</v>
      </c>
      <c r="X35" s="39" t="s">
        <v>458</v>
      </c>
      <c r="Y35" s="97" t="s">
        <v>458</v>
      </c>
      <c r="Z35" s="118" t="s">
        <v>159</v>
      </c>
      <c r="AA35" s="259" t="s">
        <v>439</v>
      </c>
      <c r="AB35" s="259" t="s">
        <v>459</v>
      </c>
      <c r="AC35" s="53" t="s">
        <v>458</v>
      </c>
    </row>
    <row r="36" spans="1:29" ht="80" x14ac:dyDescent="0.2">
      <c r="A36" s="21">
        <v>5</v>
      </c>
      <c r="B36" s="29">
        <v>33</v>
      </c>
      <c r="C36" s="29" t="s">
        <v>162</v>
      </c>
      <c r="D36" s="91" t="s">
        <v>160</v>
      </c>
      <c r="E36" s="37" t="s">
        <v>120</v>
      </c>
      <c r="F36" s="259" t="s">
        <v>428</v>
      </c>
      <c r="G36" s="95" t="s">
        <v>458</v>
      </c>
      <c r="H36" s="95" t="s">
        <v>458</v>
      </c>
      <c r="I36" s="61" t="s">
        <v>458</v>
      </c>
      <c r="J36" s="61" t="s">
        <v>458</v>
      </c>
      <c r="K36" s="61" t="s">
        <v>458</v>
      </c>
      <c r="L36" s="95" t="s">
        <v>458</v>
      </c>
      <c r="M36" s="95" t="s">
        <v>458</v>
      </c>
      <c r="N36" s="95" t="s">
        <v>458</v>
      </c>
      <c r="O36" s="95" t="s">
        <v>458</v>
      </c>
      <c r="P36" s="95" t="s">
        <v>458</v>
      </c>
      <c r="Q36" s="95" t="s">
        <v>458</v>
      </c>
      <c r="R36" s="95" t="s">
        <v>458</v>
      </c>
      <c r="S36" s="95" t="s">
        <v>458</v>
      </c>
      <c r="T36" s="95" t="s">
        <v>458</v>
      </c>
      <c r="U36" s="97" t="s">
        <v>458</v>
      </c>
      <c r="V36" s="39" t="s">
        <v>458</v>
      </c>
      <c r="W36" s="39" t="s">
        <v>458</v>
      </c>
      <c r="X36" s="39" t="s">
        <v>458</v>
      </c>
      <c r="Y36" s="97" t="s">
        <v>458</v>
      </c>
      <c r="Z36" s="118" t="s">
        <v>159</v>
      </c>
      <c r="AA36" s="259" t="s">
        <v>439</v>
      </c>
      <c r="AB36" s="259" t="s">
        <v>459</v>
      </c>
      <c r="AC36" s="53" t="s">
        <v>458</v>
      </c>
    </row>
    <row r="37" spans="1:29" ht="80" x14ac:dyDescent="0.2">
      <c r="A37" s="21">
        <v>5</v>
      </c>
      <c r="B37" s="29">
        <v>34</v>
      </c>
      <c r="C37" s="29" t="s">
        <v>45</v>
      </c>
      <c r="D37" s="91" t="s">
        <v>160</v>
      </c>
      <c r="E37" s="37" t="s">
        <v>120</v>
      </c>
      <c r="F37" s="259" t="s">
        <v>428</v>
      </c>
      <c r="G37" s="95" t="s">
        <v>458</v>
      </c>
      <c r="H37" s="95" t="s">
        <v>458</v>
      </c>
      <c r="I37" s="61" t="s">
        <v>458</v>
      </c>
      <c r="J37" s="61" t="s">
        <v>458</v>
      </c>
      <c r="K37" s="61" t="s">
        <v>458</v>
      </c>
      <c r="L37" s="95" t="s">
        <v>458</v>
      </c>
      <c r="M37" s="95" t="s">
        <v>458</v>
      </c>
      <c r="N37" s="95" t="s">
        <v>458</v>
      </c>
      <c r="O37" s="95" t="s">
        <v>458</v>
      </c>
      <c r="P37" s="95" t="s">
        <v>458</v>
      </c>
      <c r="Q37" s="95" t="s">
        <v>458</v>
      </c>
      <c r="R37" s="95" t="s">
        <v>458</v>
      </c>
      <c r="S37" s="95" t="s">
        <v>458</v>
      </c>
      <c r="T37" s="95" t="s">
        <v>458</v>
      </c>
      <c r="U37" s="97" t="s">
        <v>458</v>
      </c>
      <c r="V37" s="39" t="s">
        <v>458</v>
      </c>
      <c r="W37" s="39" t="s">
        <v>458</v>
      </c>
      <c r="X37" s="39" t="s">
        <v>458</v>
      </c>
      <c r="Y37" s="97" t="s">
        <v>458</v>
      </c>
      <c r="Z37" s="118" t="s">
        <v>159</v>
      </c>
      <c r="AA37" s="259" t="s">
        <v>439</v>
      </c>
      <c r="AB37" s="259" t="s">
        <v>459</v>
      </c>
      <c r="AC37" s="53" t="s">
        <v>458</v>
      </c>
    </row>
    <row r="38" spans="1:29" ht="80" x14ac:dyDescent="0.2">
      <c r="A38" s="21">
        <v>5</v>
      </c>
      <c r="B38" s="29">
        <v>35</v>
      </c>
      <c r="C38" s="29" t="s">
        <v>45</v>
      </c>
      <c r="D38" s="91" t="s">
        <v>160</v>
      </c>
      <c r="E38" s="37" t="s">
        <v>120</v>
      </c>
      <c r="F38" s="259" t="s">
        <v>428</v>
      </c>
      <c r="G38" s="95" t="s">
        <v>458</v>
      </c>
      <c r="H38" s="95" t="s">
        <v>458</v>
      </c>
      <c r="I38" s="61" t="s">
        <v>458</v>
      </c>
      <c r="J38" s="61" t="s">
        <v>458</v>
      </c>
      <c r="K38" s="61" t="s">
        <v>458</v>
      </c>
      <c r="L38" s="95" t="s">
        <v>458</v>
      </c>
      <c r="M38" s="95" t="s">
        <v>458</v>
      </c>
      <c r="N38" s="95" t="s">
        <v>458</v>
      </c>
      <c r="O38" s="95" t="s">
        <v>458</v>
      </c>
      <c r="P38" s="95" t="s">
        <v>458</v>
      </c>
      <c r="Q38" s="95" t="s">
        <v>458</v>
      </c>
      <c r="R38" s="95" t="s">
        <v>458</v>
      </c>
      <c r="S38" s="95" t="s">
        <v>458</v>
      </c>
      <c r="T38" s="95" t="s">
        <v>458</v>
      </c>
      <c r="U38" s="97" t="s">
        <v>458</v>
      </c>
      <c r="V38" s="39" t="s">
        <v>458</v>
      </c>
      <c r="W38" s="39" t="s">
        <v>458</v>
      </c>
      <c r="X38" s="39" t="s">
        <v>458</v>
      </c>
      <c r="Y38" s="97" t="s">
        <v>458</v>
      </c>
      <c r="Z38" s="118" t="s">
        <v>159</v>
      </c>
      <c r="AA38" s="259" t="s">
        <v>439</v>
      </c>
      <c r="AB38" s="259" t="s">
        <v>459</v>
      </c>
      <c r="AC38" s="53" t="s">
        <v>458</v>
      </c>
    </row>
    <row r="39" spans="1:29" ht="80" x14ac:dyDescent="0.2">
      <c r="A39" s="21">
        <v>5</v>
      </c>
      <c r="B39" s="29">
        <v>36</v>
      </c>
      <c r="C39" s="29" t="s">
        <v>45</v>
      </c>
      <c r="D39" s="91" t="s">
        <v>160</v>
      </c>
      <c r="E39" s="37" t="s">
        <v>120</v>
      </c>
      <c r="F39" s="259" t="s">
        <v>428</v>
      </c>
      <c r="G39" s="95" t="s">
        <v>458</v>
      </c>
      <c r="H39" s="95" t="s">
        <v>458</v>
      </c>
      <c r="I39" s="61" t="s">
        <v>458</v>
      </c>
      <c r="J39" s="61" t="s">
        <v>458</v>
      </c>
      <c r="K39" s="61" t="s">
        <v>458</v>
      </c>
      <c r="L39" s="95" t="s">
        <v>458</v>
      </c>
      <c r="M39" s="95" t="s">
        <v>458</v>
      </c>
      <c r="N39" s="95" t="s">
        <v>458</v>
      </c>
      <c r="O39" s="95" t="s">
        <v>458</v>
      </c>
      <c r="P39" s="95" t="s">
        <v>458</v>
      </c>
      <c r="Q39" s="95" t="s">
        <v>458</v>
      </c>
      <c r="R39" s="95" t="s">
        <v>458</v>
      </c>
      <c r="S39" s="95" t="s">
        <v>458</v>
      </c>
      <c r="T39" s="95" t="s">
        <v>458</v>
      </c>
      <c r="U39" s="97" t="s">
        <v>458</v>
      </c>
      <c r="V39" s="39" t="s">
        <v>458</v>
      </c>
      <c r="W39" s="39" t="s">
        <v>458</v>
      </c>
      <c r="X39" s="39" t="s">
        <v>458</v>
      </c>
      <c r="Y39" s="97" t="s">
        <v>458</v>
      </c>
      <c r="Z39" s="118" t="s">
        <v>159</v>
      </c>
      <c r="AA39" s="259" t="s">
        <v>439</v>
      </c>
      <c r="AB39" s="259" t="s">
        <v>459</v>
      </c>
      <c r="AC39" s="53" t="s">
        <v>458</v>
      </c>
    </row>
    <row r="40" spans="1:29" ht="80" x14ac:dyDescent="0.2">
      <c r="A40" s="21">
        <v>5</v>
      </c>
      <c r="B40" s="29">
        <v>37</v>
      </c>
      <c r="C40" s="29" t="s">
        <v>45</v>
      </c>
      <c r="D40" s="91" t="s">
        <v>160</v>
      </c>
      <c r="E40" s="37" t="s">
        <v>120</v>
      </c>
      <c r="F40" s="259" t="s">
        <v>428</v>
      </c>
      <c r="G40" s="95" t="s">
        <v>458</v>
      </c>
      <c r="H40" s="95" t="s">
        <v>458</v>
      </c>
      <c r="I40" s="61" t="s">
        <v>458</v>
      </c>
      <c r="J40" s="61" t="s">
        <v>458</v>
      </c>
      <c r="K40" s="61" t="s">
        <v>458</v>
      </c>
      <c r="L40" s="95" t="s">
        <v>458</v>
      </c>
      <c r="M40" s="95" t="s">
        <v>458</v>
      </c>
      <c r="N40" s="95" t="s">
        <v>458</v>
      </c>
      <c r="O40" s="95" t="s">
        <v>458</v>
      </c>
      <c r="P40" s="95" t="s">
        <v>458</v>
      </c>
      <c r="Q40" s="95" t="s">
        <v>458</v>
      </c>
      <c r="R40" s="95" t="s">
        <v>458</v>
      </c>
      <c r="S40" s="95" t="s">
        <v>458</v>
      </c>
      <c r="T40" s="95" t="s">
        <v>458</v>
      </c>
      <c r="U40" s="97" t="s">
        <v>458</v>
      </c>
      <c r="V40" s="39" t="s">
        <v>458</v>
      </c>
      <c r="W40" s="39" t="s">
        <v>458</v>
      </c>
      <c r="X40" s="39" t="s">
        <v>458</v>
      </c>
      <c r="Y40" s="97" t="s">
        <v>458</v>
      </c>
      <c r="Z40" s="118" t="s">
        <v>159</v>
      </c>
      <c r="AA40" s="259" t="s">
        <v>439</v>
      </c>
      <c r="AB40" s="259" t="s">
        <v>459</v>
      </c>
      <c r="AC40" s="53" t="s">
        <v>458</v>
      </c>
    </row>
    <row r="41" spans="1:29" ht="80" x14ac:dyDescent="0.2">
      <c r="A41" s="21">
        <v>5</v>
      </c>
      <c r="B41" s="29">
        <v>38</v>
      </c>
      <c r="C41" s="29" t="s">
        <v>45</v>
      </c>
      <c r="D41" s="91" t="s">
        <v>160</v>
      </c>
      <c r="E41" s="37" t="s">
        <v>120</v>
      </c>
      <c r="F41" s="259" t="s">
        <v>428</v>
      </c>
      <c r="G41" s="95" t="s">
        <v>458</v>
      </c>
      <c r="H41" s="95" t="s">
        <v>458</v>
      </c>
      <c r="I41" s="61" t="s">
        <v>458</v>
      </c>
      <c r="J41" s="61" t="s">
        <v>458</v>
      </c>
      <c r="K41" s="61" t="s">
        <v>458</v>
      </c>
      <c r="L41" s="95" t="s">
        <v>458</v>
      </c>
      <c r="M41" s="95" t="s">
        <v>458</v>
      </c>
      <c r="N41" s="95" t="s">
        <v>458</v>
      </c>
      <c r="O41" s="95" t="s">
        <v>458</v>
      </c>
      <c r="P41" s="95" t="s">
        <v>458</v>
      </c>
      <c r="Q41" s="95" t="s">
        <v>458</v>
      </c>
      <c r="R41" s="95" t="s">
        <v>458</v>
      </c>
      <c r="S41" s="95" t="s">
        <v>458</v>
      </c>
      <c r="T41" s="95" t="s">
        <v>458</v>
      </c>
      <c r="U41" s="97" t="s">
        <v>458</v>
      </c>
      <c r="V41" s="39" t="s">
        <v>458</v>
      </c>
      <c r="W41" s="39" t="s">
        <v>458</v>
      </c>
      <c r="X41" s="39" t="s">
        <v>458</v>
      </c>
      <c r="Y41" s="97" t="s">
        <v>458</v>
      </c>
      <c r="Z41" s="118" t="s">
        <v>159</v>
      </c>
      <c r="AA41" s="259" t="s">
        <v>439</v>
      </c>
      <c r="AB41" s="259" t="s">
        <v>459</v>
      </c>
      <c r="AC41" s="53" t="s">
        <v>458</v>
      </c>
    </row>
    <row r="42" spans="1:29" ht="80" x14ac:dyDescent="0.2">
      <c r="A42" s="21">
        <v>5</v>
      </c>
      <c r="B42" s="29">
        <v>39</v>
      </c>
      <c r="C42" s="29" t="s">
        <v>45</v>
      </c>
      <c r="D42" s="91" t="s">
        <v>160</v>
      </c>
      <c r="E42" s="37" t="s">
        <v>120</v>
      </c>
      <c r="F42" s="259" t="s">
        <v>428</v>
      </c>
      <c r="G42" s="95" t="s">
        <v>458</v>
      </c>
      <c r="H42" s="95" t="s">
        <v>458</v>
      </c>
      <c r="I42" s="61" t="s">
        <v>458</v>
      </c>
      <c r="J42" s="61" t="s">
        <v>458</v>
      </c>
      <c r="K42" s="61" t="s">
        <v>458</v>
      </c>
      <c r="L42" s="95" t="s">
        <v>458</v>
      </c>
      <c r="M42" s="95" t="s">
        <v>458</v>
      </c>
      <c r="N42" s="95" t="s">
        <v>458</v>
      </c>
      <c r="O42" s="95" t="s">
        <v>458</v>
      </c>
      <c r="P42" s="95" t="s">
        <v>458</v>
      </c>
      <c r="Q42" s="95" t="s">
        <v>458</v>
      </c>
      <c r="R42" s="95" t="s">
        <v>458</v>
      </c>
      <c r="S42" s="95" t="s">
        <v>458</v>
      </c>
      <c r="T42" s="95" t="s">
        <v>458</v>
      </c>
      <c r="U42" s="97" t="s">
        <v>458</v>
      </c>
      <c r="V42" s="39" t="s">
        <v>458</v>
      </c>
      <c r="W42" s="39" t="s">
        <v>458</v>
      </c>
      <c r="X42" s="39" t="s">
        <v>458</v>
      </c>
      <c r="Y42" s="97" t="s">
        <v>458</v>
      </c>
      <c r="Z42" s="118" t="s">
        <v>159</v>
      </c>
      <c r="AA42" s="259" t="s">
        <v>439</v>
      </c>
      <c r="AB42" s="259" t="s">
        <v>459</v>
      </c>
      <c r="AC42" s="53" t="s">
        <v>458</v>
      </c>
    </row>
    <row r="43" spans="1:29" ht="80" x14ac:dyDescent="0.2">
      <c r="A43" s="21">
        <v>5</v>
      </c>
      <c r="B43" s="29">
        <v>40</v>
      </c>
      <c r="C43" s="29" t="s">
        <v>45</v>
      </c>
      <c r="D43" s="91" t="s">
        <v>160</v>
      </c>
      <c r="E43" s="37" t="s">
        <v>120</v>
      </c>
      <c r="F43" s="259" t="s">
        <v>428</v>
      </c>
      <c r="G43" s="95" t="s">
        <v>458</v>
      </c>
      <c r="H43" s="95" t="s">
        <v>458</v>
      </c>
      <c r="I43" s="61" t="s">
        <v>458</v>
      </c>
      <c r="J43" s="61" t="s">
        <v>458</v>
      </c>
      <c r="K43" s="61" t="s">
        <v>458</v>
      </c>
      <c r="L43" s="95" t="s">
        <v>458</v>
      </c>
      <c r="M43" s="95" t="s">
        <v>458</v>
      </c>
      <c r="N43" s="95" t="s">
        <v>458</v>
      </c>
      <c r="O43" s="95" t="s">
        <v>458</v>
      </c>
      <c r="P43" s="95" t="s">
        <v>458</v>
      </c>
      <c r="Q43" s="95" t="s">
        <v>458</v>
      </c>
      <c r="R43" s="95" t="s">
        <v>458</v>
      </c>
      <c r="S43" s="95" t="s">
        <v>458</v>
      </c>
      <c r="T43" s="95" t="s">
        <v>458</v>
      </c>
      <c r="U43" s="97" t="s">
        <v>458</v>
      </c>
      <c r="V43" s="39" t="s">
        <v>458</v>
      </c>
      <c r="W43" s="39" t="s">
        <v>458</v>
      </c>
      <c r="X43" s="39" t="s">
        <v>458</v>
      </c>
      <c r="Y43" s="97" t="s">
        <v>458</v>
      </c>
      <c r="Z43" s="118" t="s">
        <v>159</v>
      </c>
      <c r="AA43" s="259" t="s">
        <v>439</v>
      </c>
      <c r="AB43" s="259" t="s">
        <v>459</v>
      </c>
      <c r="AC43" s="53" t="s">
        <v>458</v>
      </c>
    </row>
    <row r="44" spans="1:29" ht="80" x14ac:dyDescent="0.2">
      <c r="A44" s="21">
        <v>5</v>
      </c>
      <c r="B44" s="29">
        <v>41</v>
      </c>
      <c r="C44" s="29" t="s">
        <v>162</v>
      </c>
      <c r="D44" s="91" t="s">
        <v>160</v>
      </c>
      <c r="E44" s="37" t="s">
        <v>120</v>
      </c>
      <c r="F44" s="259" t="s">
        <v>428</v>
      </c>
      <c r="G44" s="95" t="s">
        <v>458</v>
      </c>
      <c r="H44" s="95" t="s">
        <v>458</v>
      </c>
      <c r="I44" s="61" t="s">
        <v>458</v>
      </c>
      <c r="J44" s="61" t="s">
        <v>458</v>
      </c>
      <c r="K44" s="61" t="s">
        <v>458</v>
      </c>
      <c r="L44" s="95" t="s">
        <v>458</v>
      </c>
      <c r="M44" s="95" t="s">
        <v>458</v>
      </c>
      <c r="N44" s="95" t="s">
        <v>458</v>
      </c>
      <c r="O44" s="95" t="s">
        <v>458</v>
      </c>
      <c r="P44" s="95" t="s">
        <v>458</v>
      </c>
      <c r="Q44" s="95" t="s">
        <v>458</v>
      </c>
      <c r="R44" s="95" t="s">
        <v>458</v>
      </c>
      <c r="S44" s="95" t="s">
        <v>458</v>
      </c>
      <c r="T44" s="95" t="s">
        <v>458</v>
      </c>
      <c r="U44" s="97" t="s">
        <v>458</v>
      </c>
      <c r="V44" s="39" t="s">
        <v>458</v>
      </c>
      <c r="W44" s="39" t="s">
        <v>458</v>
      </c>
      <c r="X44" s="39" t="s">
        <v>458</v>
      </c>
      <c r="Y44" s="97" t="s">
        <v>458</v>
      </c>
      <c r="Z44" s="118" t="s">
        <v>159</v>
      </c>
      <c r="AA44" s="259" t="s">
        <v>439</v>
      </c>
      <c r="AB44" s="259" t="s">
        <v>459</v>
      </c>
      <c r="AC44" s="53" t="s">
        <v>458</v>
      </c>
    </row>
    <row r="45" spans="1:29" ht="80" x14ac:dyDescent="0.2">
      <c r="A45" s="21">
        <v>5</v>
      </c>
      <c r="B45" s="29">
        <v>42</v>
      </c>
      <c r="C45" s="29" t="s">
        <v>46</v>
      </c>
      <c r="D45" s="91" t="s">
        <v>160</v>
      </c>
      <c r="E45" s="37" t="s">
        <v>120</v>
      </c>
      <c r="F45" s="259" t="s">
        <v>428</v>
      </c>
      <c r="G45" s="95" t="s">
        <v>458</v>
      </c>
      <c r="H45" s="95" t="s">
        <v>458</v>
      </c>
      <c r="I45" s="61" t="s">
        <v>458</v>
      </c>
      <c r="J45" s="61" t="s">
        <v>458</v>
      </c>
      <c r="K45" s="61" t="s">
        <v>458</v>
      </c>
      <c r="L45" s="95" t="s">
        <v>458</v>
      </c>
      <c r="M45" s="95" t="s">
        <v>458</v>
      </c>
      <c r="N45" s="95" t="s">
        <v>458</v>
      </c>
      <c r="O45" s="95" t="s">
        <v>458</v>
      </c>
      <c r="P45" s="95" t="s">
        <v>458</v>
      </c>
      <c r="Q45" s="95" t="s">
        <v>458</v>
      </c>
      <c r="R45" s="95" t="s">
        <v>458</v>
      </c>
      <c r="S45" s="95" t="s">
        <v>458</v>
      </c>
      <c r="T45" s="95" t="s">
        <v>458</v>
      </c>
      <c r="U45" s="97" t="s">
        <v>458</v>
      </c>
      <c r="V45" s="39" t="s">
        <v>458</v>
      </c>
      <c r="W45" s="39" t="s">
        <v>458</v>
      </c>
      <c r="X45" s="39" t="s">
        <v>458</v>
      </c>
      <c r="Y45" s="97" t="s">
        <v>458</v>
      </c>
      <c r="Z45" s="118" t="s">
        <v>159</v>
      </c>
      <c r="AA45" s="259" t="s">
        <v>439</v>
      </c>
      <c r="AB45" s="259" t="s">
        <v>459</v>
      </c>
      <c r="AC45" s="53" t="s">
        <v>458</v>
      </c>
    </row>
    <row r="46" spans="1:29" ht="80" x14ac:dyDescent="0.2">
      <c r="A46" s="21">
        <v>5</v>
      </c>
      <c r="B46" s="29">
        <v>43</v>
      </c>
      <c r="C46" s="29" t="s">
        <v>46</v>
      </c>
      <c r="D46" s="91" t="s">
        <v>160</v>
      </c>
      <c r="E46" s="37" t="s">
        <v>120</v>
      </c>
      <c r="F46" s="259" t="s">
        <v>428</v>
      </c>
      <c r="G46" s="95" t="s">
        <v>458</v>
      </c>
      <c r="H46" s="95" t="s">
        <v>458</v>
      </c>
      <c r="I46" s="61" t="s">
        <v>458</v>
      </c>
      <c r="J46" s="61" t="s">
        <v>458</v>
      </c>
      <c r="K46" s="61" t="s">
        <v>458</v>
      </c>
      <c r="L46" s="95" t="s">
        <v>458</v>
      </c>
      <c r="M46" s="95" t="s">
        <v>458</v>
      </c>
      <c r="N46" s="95" t="s">
        <v>458</v>
      </c>
      <c r="O46" s="95" t="s">
        <v>458</v>
      </c>
      <c r="P46" s="95" t="s">
        <v>458</v>
      </c>
      <c r="Q46" s="95" t="s">
        <v>458</v>
      </c>
      <c r="R46" s="95" t="s">
        <v>458</v>
      </c>
      <c r="S46" s="95" t="s">
        <v>458</v>
      </c>
      <c r="T46" s="95" t="s">
        <v>458</v>
      </c>
      <c r="U46" s="97" t="s">
        <v>458</v>
      </c>
      <c r="V46" s="39" t="s">
        <v>458</v>
      </c>
      <c r="W46" s="39" t="s">
        <v>458</v>
      </c>
      <c r="X46" s="39" t="s">
        <v>458</v>
      </c>
      <c r="Y46" s="97" t="s">
        <v>458</v>
      </c>
      <c r="Z46" s="118" t="s">
        <v>159</v>
      </c>
      <c r="AA46" s="259" t="s">
        <v>439</v>
      </c>
      <c r="AB46" s="259" t="s">
        <v>459</v>
      </c>
      <c r="AC46" s="53" t="s">
        <v>458</v>
      </c>
    </row>
    <row r="47" spans="1:29" ht="80" x14ac:dyDescent="0.2">
      <c r="A47" s="21">
        <v>5</v>
      </c>
      <c r="B47" s="29">
        <v>44</v>
      </c>
      <c r="C47" s="29" t="s">
        <v>46</v>
      </c>
      <c r="D47" s="91" t="s">
        <v>160</v>
      </c>
      <c r="E47" s="37" t="s">
        <v>120</v>
      </c>
      <c r="F47" s="259" t="s">
        <v>428</v>
      </c>
      <c r="G47" s="95" t="s">
        <v>458</v>
      </c>
      <c r="H47" s="95" t="s">
        <v>458</v>
      </c>
      <c r="I47" s="61" t="s">
        <v>458</v>
      </c>
      <c r="J47" s="61" t="s">
        <v>458</v>
      </c>
      <c r="K47" s="61" t="s">
        <v>458</v>
      </c>
      <c r="L47" s="95" t="s">
        <v>458</v>
      </c>
      <c r="M47" s="95" t="s">
        <v>458</v>
      </c>
      <c r="N47" s="95" t="s">
        <v>458</v>
      </c>
      <c r="O47" s="95" t="s">
        <v>458</v>
      </c>
      <c r="P47" s="95" t="s">
        <v>458</v>
      </c>
      <c r="Q47" s="95" t="s">
        <v>458</v>
      </c>
      <c r="R47" s="95" t="s">
        <v>458</v>
      </c>
      <c r="S47" s="95" t="s">
        <v>458</v>
      </c>
      <c r="T47" s="95" t="s">
        <v>458</v>
      </c>
      <c r="U47" s="97" t="s">
        <v>458</v>
      </c>
      <c r="V47" s="39" t="s">
        <v>458</v>
      </c>
      <c r="W47" s="39" t="s">
        <v>458</v>
      </c>
      <c r="X47" s="39" t="s">
        <v>458</v>
      </c>
      <c r="Y47" s="97" t="s">
        <v>458</v>
      </c>
      <c r="Z47" s="118" t="s">
        <v>159</v>
      </c>
      <c r="AA47" s="259" t="s">
        <v>439</v>
      </c>
      <c r="AB47" s="259" t="s">
        <v>459</v>
      </c>
      <c r="AC47" s="53" t="s">
        <v>458</v>
      </c>
    </row>
    <row r="48" spans="1:29" ht="80" x14ac:dyDescent="0.2">
      <c r="A48" s="21">
        <v>5</v>
      </c>
      <c r="B48" s="29">
        <v>45</v>
      </c>
      <c r="C48" s="29" t="s">
        <v>46</v>
      </c>
      <c r="D48" s="91" t="s">
        <v>160</v>
      </c>
      <c r="E48" s="37" t="s">
        <v>120</v>
      </c>
      <c r="F48" s="259" t="s">
        <v>428</v>
      </c>
      <c r="G48" s="95" t="s">
        <v>458</v>
      </c>
      <c r="H48" s="95" t="s">
        <v>458</v>
      </c>
      <c r="I48" s="61" t="s">
        <v>458</v>
      </c>
      <c r="J48" s="61" t="s">
        <v>458</v>
      </c>
      <c r="K48" s="61" t="s">
        <v>458</v>
      </c>
      <c r="L48" s="95" t="s">
        <v>458</v>
      </c>
      <c r="M48" s="95" t="s">
        <v>458</v>
      </c>
      <c r="N48" s="95" t="s">
        <v>458</v>
      </c>
      <c r="O48" s="95" t="s">
        <v>458</v>
      </c>
      <c r="P48" s="95" t="s">
        <v>458</v>
      </c>
      <c r="Q48" s="95" t="s">
        <v>458</v>
      </c>
      <c r="R48" s="95" t="s">
        <v>458</v>
      </c>
      <c r="S48" s="95" t="s">
        <v>458</v>
      </c>
      <c r="T48" s="95" t="s">
        <v>458</v>
      </c>
      <c r="U48" s="97" t="s">
        <v>458</v>
      </c>
      <c r="V48" s="39" t="s">
        <v>458</v>
      </c>
      <c r="W48" s="39" t="s">
        <v>458</v>
      </c>
      <c r="X48" s="39" t="s">
        <v>458</v>
      </c>
      <c r="Y48" s="97" t="s">
        <v>458</v>
      </c>
      <c r="Z48" s="118" t="s">
        <v>159</v>
      </c>
      <c r="AA48" s="259" t="s">
        <v>439</v>
      </c>
      <c r="AB48" s="259" t="s">
        <v>459</v>
      </c>
      <c r="AC48" s="53" t="s">
        <v>458</v>
      </c>
    </row>
    <row r="49" spans="1:35" ht="80" x14ac:dyDescent="0.2">
      <c r="A49" s="21">
        <v>5</v>
      </c>
      <c r="B49" s="29">
        <v>46</v>
      </c>
      <c r="C49" s="29" t="s">
        <v>46</v>
      </c>
      <c r="D49" s="91" t="s">
        <v>160</v>
      </c>
      <c r="E49" s="37" t="s">
        <v>120</v>
      </c>
      <c r="F49" s="259" t="s">
        <v>428</v>
      </c>
      <c r="G49" s="95" t="s">
        <v>458</v>
      </c>
      <c r="H49" s="95" t="s">
        <v>458</v>
      </c>
      <c r="I49" s="61" t="s">
        <v>458</v>
      </c>
      <c r="J49" s="61" t="s">
        <v>458</v>
      </c>
      <c r="K49" s="61" t="s">
        <v>458</v>
      </c>
      <c r="L49" s="95" t="s">
        <v>458</v>
      </c>
      <c r="M49" s="95" t="s">
        <v>458</v>
      </c>
      <c r="N49" s="95" t="s">
        <v>458</v>
      </c>
      <c r="O49" s="95" t="s">
        <v>458</v>
      </c>
      <c r="P49" s="95" t="s">
        <v>458</v>
      </c>
      <c r="Q49" s="95" t="s">
        <v>458</v>
      </c>
      <c r="R49" s="95" t="s">
        <v>458</v>
      </c>
      <c r="S49" s="95" t="s">
        <v>458</v>
      </c>
      <c r="T49" s="95" t="s">
        <v>458</v>
      </c>
      <c r="U49" s="97" t="s">
        <v>458</v>
      </c>
      <c r="V49" s="39" t="s">
        <v>458</v>
      </c>
      <c r="W49" s="39" t="s">
        <v>458</v>
      </c>
      <c r="X49" s="39" t="s">
        <v>458</v>
      </c>
      <c r="Y49" s="97" t="s">
        <v>458</v>
      </c>
      <c r="Z49" s="118" t="s">
        <v>159</v>
      </c>
      <c r="AA49" s="259" t="s">
        <v>439</v>
      </c>
      <c r="AB49" s="259" t="s">
        <v>459</v>
      </c>
      <c r="AC49" s="53" t="s">
        <v>458</v>
      </c>
    </row>
    <row r="50" spans="1:35" ht="80" x14ac:dyDescent="0.2">
      <c r="A50" s="21">
        <v>5</v>
      </c>
      <c r="B50" s="29">
        <v>47</v>
      </c>
      <c r="C50" s="29" t="s">
        <v>46</v>
      </c>
      <c r="D50" s="91" t="s">
        <v>160</v>
      </c>
      <c r="E50" s="37" t="s">
        <v>120</v>
      </c>
      <c r="F50" s="259" t="s">
        <v>428</v>
      </c>
      <c r="G50" s="95" t="s">
        <v>458</v>
      </c>
      <c r="H50" s="95" t="s">
        <v>458</v>
      </c>
      <c r="I50" s="61" t="s">
        <v>458</v>
      </c>
      <c r="J50" s="61" t="s">
        <v>458</v>
      </c>
      <c r="K50" s="61" t="s">
        <v>458</v>
      </c>
      <c r="L50" s="95" t="s">
        <v>458</v>
      </c>
      <c r="M50" s="95" t="s">
        <v>458</v>
      </c>
      <c r="N50" s="95" t="s">
        <v>458</v>
      </c>
      <c r="O50" s="95" t="s">
        <v>458</v>
      </c>
      <c r="P50" s="95" t="s">
        <v>458</v>
      </c>
      <c r="Q50" s="95" t="s">
        <v>458</v>
      </c>
      <c r="R50" s="95" t="s">
        <v>458</v>
      </c>
      <c r="S50" s="95" t="s">
        <v>458</v>
      </c>
      <c r="T50" s="95" t="s">
        <v>458</v>
      </c>
      <c r="U50" s="97" t="s">
        <v>458</v>
      </c>
      <c r="V50" s="39" t="s">
        <v>458</v>
      </c>
      <c r="W50" s="39" t="s">
        <v>458</v>
      </c>
      <c r="X50" s="39" t="s">
        <v>458</v>
      </c>
      <c r="Y50" s="97" t="s">
        <v>458</v>
      </c>
      <c r="Z50" s="118" t="s">
        <v>159</v>
      </c>
      <c r="AA50" s="259" t="s">
        <v>439</v>
      </c>
      <c r="AB50" s="259" t="s">
        <v>459</v>
      </c>
      <c r="AC50" s="53" t="s">
        <v>458</v>
      </c>
    </row>
    <row r="51" spans="1:35" s="17" customFormat="1" ht="80" x14ac:dyDescent="0.2">
      <c r="A51" s="23">
        <v>5</v>
      </c>
      <c r="B51" s="30">
        <v>48</v>
      </c>
      <c r="C51" s="30" t="s">
        <v>46</v>
      </c>
      <c r="D51" s="100" t="s">
        <v>160</v>
      </c>
      <c r="E51" s="36" t="s">
        <v>120</v>
      </c>
      <c r="F51" s="248" t="s">
        <v>428</v>
      </c>
      <c r="G51" s="99" t="s">
        <v>458</v>
      </c>
      <c r="H51" s="99" t="s">
        <v>458</v>
      </c>
      <c r="I51" s="62" t="s">
        <v>458</v>
      </c>
      <c r="J51" s="62" t="s">
        <v>458</v>
      </c>
      <c r="K51" s="62" t="s">
        <v>458</v>
      </c>
      <c r="L51" s="99" t="s">
        <v>458</v>
      </c>
      <c r="M51" s="99" t="s">
        <v>458</v>
      </c>
      <c r="N51" s="99" t="s">
        <v>458</v>
      </c>
      <c r="O51" s="99" t="s">
        <v>458</v>
      </c>
      <c r="P51" s="99" t="s">
        <v>458</v>
      </c>
      <c r="Q51" s="99" t="s">
        <v>458</v>
      </c>
      <c r="R51" s="99" t="s">
        <v>458</v>
      </c>
      <c r="S51" s="99" t="s">
        <v>458</v>
      </c>
      <c r="T51" s="99" t="s">
        <v>458</v>
      </c>
      <c r="U51" s="98" t="s">
        <v>458</v>
      </c>
      <c r="V51" s="40" t="s">
        <v>458</v>
      </c>
      <c r="W51" s="40" t="s">
        <v>458</v>
      </c>
      <c r="X51" s="40" t="s">
        <v>458</v>
      </c>
      <c r="Y51" s="98" t="s">
        <v>458</v>
      </c>
      <c r="Z51" s="181" t="s">
        <v>159</v>
      </c>
      <c r="AA51" s="248" t="s">
        <v>439</v>
      </c>
      <c r="AB51" s="248" t="s">
        <v>459</v>
      </c>
      <c r="AC51" s="54" t="s">
        <v>458</v>
      </c>
    </row>
    <row r="52" spans="1:35" ht="16" x14ac:dyDescent="0.2">
      <c r="A52" s="21">
        <v>6</v>
      </c>
      <c r="B52" s="29">
        <v>5</v>
      </c>
      <c r="C52" s="29" t="s">
        <v>49</v>
      </c>
      <c r="D52" s="91" t="s">
        <v>211</v>
      </c>
      <c r="E52" s="37" t="s">
        <v>120</v>
      </c>
      <c r="F52" s="318" t="s">
        <v>477</v>
      </c>
      <c r="G52" s="251">
        <v>20</v>
      </c>
      <c r="H52" s="97" t="s">
        <v>121</v>
      </c>
      <c r="I52" s="61" t="s">
        <v>458</v>
      </c>
      <c r="J52" s="61" t="s">
        <v>458</v>
      </c>
      <c r="K52" s="61" t="s">
        <v>458</v>
      </c>
      <c r="L52" s="95" t="s">
        <v>458</v>
      </c>
      <c r="M52" s="95" t="s">
        <v>458</v>
      </c>
      <c r="N52" s="95" t="s">
        <v>458</v>
      </c>
      <c r="O52" s="95" t="s">
        <v>458</v>
      </c>
      <c r="P52" s="95" t="s">
        <v>458</v>
      </c>
      <c r="Q52" s="95" t="s">
        <v>458</v>
      </c>
      <c r="R52" s="97" t="s">
        <v>458</v>
      </c>
      <c r="S52" s="97" t="s">
        <v>458</v>
      </c>
      <c r="T52" s="97" t="s">
        <v>458</v>
      </c>
      <c r="U52" s="97" t="s">
        <v>458</v>
      </c>
      <c r="V52" s="39" t="s">
        <v>458</v>
      </c>
      <c r="W52" s="39" t="s">
        <v>458</v>
      </c>
      <c r="X52" s="39" t="s">
        <v>458</v>
      </c>
      <c r="Y52" s="97" t="s">
        <v>458</v>
      </c>
      <c r="Z52" s="345" t="s">
        <v>212</v>
      </c>
      <c r="AA52" s="259" t="s">
        <v>438</v>
      </c>
      <c r="AB52" s="259" t="s">
        <v>459</v>
      </c>
      <c r="AC52" s="41" t="s">
        <v>455</v>
      </c>
    </row>
    <row r="53" spans="1:35" ht="15" customHeight="1" x14ac:dyDescent="0.2">
      <c r="A53" s="21">
        <v>6</v>
      </c>
      <c r="B53" s="29">
        <v>6</v>
      </c>
      <c r="C53" s="29" t="s">
        <v>48</v>
      </c>
      <c r="D53" s="91" t="s">
        <v>211</v>
      </c>
      <c r="E53" s="37" t="s">
        <v>120</v>
      </c>
      <c r="F53" s="318" t="s">
        <v>477</v>
      </c>
      <c r="G53" s="251">
        <v>20</v>
      </c>
      <c r="H53" s="97" t="s">
        <v>121</v>
      </c>
      <c r="I53" s="61" t="s">
        <v>458</v>
      </c>
      <c r="J53" s="61" t="s">
        <v>458</v>
      </c>
      <c r="K53" s="61" t="s">
        <v>458</v>
      </c>
      <c r="L53" s="95" t="s">
        <v>458</v>
      </c>
      <c r="M53" s="95" t="s">
        <v>458</v>
      </c>
      <c r="N53" s="95" t="s">
        <v>458</v>
      </c>
      <c r="O53" s="95" t="s">
        <v>458</v>
      </c>
      <c r="P53" s="95" t="s">
        <v>458</v>
      </c>
      <c r="Q53" s="95" t="s">
        <v>458</v>
      </c>
      <c r="R53" s="97" t="s">
        <v>458</v>
      </c>
      <c r="S53" s="97" t="s">
        <v>458</v>
      </c>
      <c r="T53" s="97" t="s">
        <v>458</v>
      </c>
      <c r="U53" s="97" t="s">
        <v>458</v>
      </c>
      <c r="V53" s="39" t="s">
        <v>458</v>
      </c>
      <c r="W53" s="39" t="s">
        <v>458</v>
      </c>
      <c r="X53" s="39" t="s">
        <v>458</v>
      </c>
      <c r="Y53" s="97" t="s">
        <v>458</v>
      </c>
      <c r="Z53" s="345" t="s">
        <v>212</v>
      </c>
      <c r="AA53" s="259" t="s">
        <v>438</v>
      </c>
      <c r="AB53" s="259" t="s">
        <v>459</v>
      </c>
      <c r="AC53" s="41" t="s">
        <v>455</v>
      </c>
    </row>
    <row r="54" spans="1:35" ht="16" x14ac:dyDescent="0.2">
      <c r="A54" s="21">
        <v>6</v>
      </c>
      <c r="B54" s="29">
        <v>7</v>
      </c>
      <c r="C54" s="29" t="s">
        <v>47</v>
      </c>
      <c r="D54" s="91" t="s">
        <v>211</v>
      </c>
      <c r="E54" s="37" t="s">
        <v>120</v>
      </c>
      <c r="F54" s="318" t="s">
        <v>477</v>
      </c>
      <c r="G54" s="251">
        <v>20</v>
      </c>
      <c r="H54" s="97" t="s">
        <v>121</v>
      </c>
      <c r="I54" s="61" t="s">
        <v>458</v>
      </c>
      <c r="J54" s="61" t="s">
        <v>458</v>
      </c>
      <c r="K54" s="61" t="s">
        <v>458</v>
      </c>
      <c r="L54" s="95" t="s">
        <v>458</v>
      </c>
      <c r="M54" s="95" t="s">
        <v>458</v>
      </c>
      <c r="N54" s="95" t="s">
        <v>458</v>
      </c>
      <c r="O54" s="95" t="s">
        <v>458</v>
      </c>
      <c r="P54" s="95" t="s">
        <v>458</v>
      </c>
      <c r="Q54" s="95" t="s">
        <v>458</v>
      </c>
      <c r="R54" s="97" t="s">
        <v>458</v>
      </c>
      <c r="S54" s="97" t="s">
        <v>458</v>
      </c>
      <c r="T54" s="97" t="s">
        <v>458</v>
      </c>
      <c r="U54" s="97" t="s">
        <v>458</v>
      </c>
      <c r="V54" s="39" t="s">
        <v>458</v>
      </c>
      <c r="W54" s="39" t="s">
        <v>458</v>
      </c>
      <c r="X54" s="39" t="s">
        <v>458</v>
      </c>
      <c r="Y54" s="97" t="s">
        <v>458</v>
      </c>
      <c r="Z54" s="345" t="s">
        <v>212</v>
      </c>
      <c r="AA54" s="259" t="s">
        <v>438</v>
      </c>
      <c r="AB54" s="259" t="s">
        <v>459</v>
      </c>
      <c r="AC54" s="41" t="s">
        <v>455</v>
      </c>
    </row>
    <row r="55" spans="1:35" s="56" customFormat="1" ht="17" x14ac:dyDescent="0.25">
      <c r="A55" s="24">
        <v>8</v>
      </c>
      <c r="B55" s="15">
        <v>1</v>
      </c>
      <c r="C55" s="15" t="s">
        <v>32</v>
      </c>
      <c r="D55" s="107" t="s">
        <v>211</v>
      </c>
      <c r="E55" s="108" t="s">
        <v>120</v>
      </c>
      <c r="F55" s="261" t="s">
        <v>431</v>
      </c>
      <c r="G55" s="96">
        <v>28</v>
      </c>
      <c r="H55" s="111" t="s">
        <v>121</v>
      </c>
      <c r="I55" s="162" t="s">
        <v>458</v>
      </c>
      <c r="J55" s="162" t="s">
        <v>458</v>
      </c>
      <c r="K55" s="162" t="s">
        <v>458</v>
      </c>
      <c r="L55" s="110" t="s">
        <v>458</v>
      </c>
      <c r="M55" s="112" t="s">
        <v>221</v>
      </c>
      <c r="N55" s="96">
        <v>35</v>
      </c>
      <c r="O55" s="110" t="s">
        <v>458</v>
      </c>
      <c r="P55" s="110" t="s">
        <v>458</v>
      </c>
      <c r="Q55" s="110" t="s">
        <v>458</v>
      </c>
      <c r="R55" s="110" t="s">
        <v>458</v>
      </c>
      <c r="S55" s="110" t="s">
        <v>458</v>
      </c>
      <c r="T55" s="110" t="s">
        <v>458</v>
      </c>
      <c r="U55" s="111" t="s">
        <v>458</v>
      </c>
      <c r="V55" s="252" t="s">
        <v>458</v>
      </c>
      <c r="W55" s="252" t="s">
        <v>458</v>
      </c>
      <c r="X55" s="252" t="s">
        <v>458</v>
      </c>
      <c r="Y55" s="111" t="s">
        <v>458</v>
      </c>
      <c r="Z55" s="346" t="s">
        <v>222</v>
      </c>
      <c r="AA55" s="108" t="s">
        <v>145</v>
      </c>
      <c r="AB55" s="108" t="s">
        <v>459</v>
      </c>
      <c r="AC55" s="108" t="s">
        <v>458</v>
      </c>
    </row>
    <row r="56" spans="1:35" ht="16" x14ac:dyDescent="0.2">
      <c r="A56" s="21">
        <v>9</v>
      </c>
      <c r="B56" s="29">
        <v>1</v>
      </c>
      <c r="C56" s="29" t="s">
        <v>223</v>
      </c>
      <c r="D56" s="117" t="s">
        <v>211</v>
      </c>
      <c r="E56" s="93" t="s">
        <v>120</v>
      </c>
      <c r="F56" s="262" t="s">
        <v>430</v>
      </c>
      <c r="G56" s="38">
        <v>55</v>
      </c>
      <c r="H56" s="97" t="s">
        <v>121</v>
      </c>
      <c r="I56" s="61" t="s">
        <v>458</v>
      </c>
      <c r="J56" s="61" t="s">
        <v>458</v>
      </c>
      <c r="K56" s="61" t="s">
        <v>458</v>
      </c>
      <c r="L56" s="95" t="s">
        <v>458</v>
      </c>
      <c r="M56" s="95" t="s">
        <v>458</v>
      </c>
      <c r="N56" s="95" t="s">
        <v>458</v>
      </c>
      <c r="O56" s="95" t="s">
        <v>458</v>
      </c>
      <c r="P56" s="95" t="s">
        <v>458</v>
      </c>
      <c r="Q56" s="95" t="s">
        <v>458</v>
      </c>
      <c r="R56" s="102">
        <v>60</v>
      </c>
      <c r="S56" s="38">
        <v>7</v>
      </c>
      <c r="T56" s="38">
        <v>55</v>
      </c>
      <c r="U56" s="97" t="s">
        <v>458</v>
      </c>
      <c r="V56" s="39" t="s">
        <v>458</v>
      </c>
      <c r="W56" s="39" t="s">
        <v>458</v>
      </c>
      <c r="X56" s="39" t="s">
        <v>458</v>
      </c>
      <c r="Y56" s="97" t="s">
        <v>458</v>
      </c>
      <c r="Z56" s="347" t="s">
        <v>137</v>
      </c>
      <c r="AA56" s="93" t="s">
        <v>119</v>
      </c>
      <c r="AB56" s="93" t="s">
        <v>457</v>
      </c>
      <c r="AC56" s="93" t="s">
        <v>458</v>
      </c>
    </row>
    <row r="57" spans="1:35" ht="16" x14ac:dyDescent="0.2">
      <c r="A57" s="21">
        <v>9</v>
      </c>
      <c r="B57" s="29">
        <v>4</v>
      </c>
      <c r="C57" s="273" t="s">
        <v>226</v>
      </c>
      <c r="D57" s="117" t="s">
        <v>211</v>
      </c>
      <c r="E57" s="93" t="s">
        <v>120</v>
      </c>
      <c r="F57" s="257" t="s">
        <v>431</v>
      </c>
      <c r="G57" s="38">
        <v>55</v>
      </c>
      <c r="H57" s="97" t="s">
        <v>121</v>
      </c>
      <c r="I57" s="61" t="s">
        <v>458</v>
      </c>
      <c r="J57" s="61" t="s">
        <v>458</v>
      </c>
      <c r="K57" s="61" t="s">
        <v>458</v>
      </c>
      <c r="L57" s="95" t="s">
        <v>458</v>
      </c>
      <c r="M57" s="95" t="s">
        <v>458</v>
      </c>
      <c r="N57" s="95" t="s">
        <v>458</v>
      </c>
      <c r="O57" s="95" t="s">
        <v>458</v>
      </c>
      <c r="P57" s="95" t="s">
        <v>458</v>
      </c>
      <c r="Q57" s="95" t="s">
        <v>458</v>
      </c>
      <c r="R57" s="102">
        <v>60</v>
      </c>
      <c r="S57" s="38">
        <v>7</v>
      </c>
      <c r="T57" s="38">
        <v>55</v>
      </c>
      <c r="U57" s="97" t="s">
        <v>458</v>
      </c>
      <c r="V57" s="39" t="s">
        <v>458</v>
      </c>
      <c r="W57" s="39" t="s">
        <v>458</v>
      </c>
      <c r="X57" s="39" t="s">
        <v>458</v>
      </c>
      <c r="Y57" s="97" t="s">
        <v>458</v>
      </c>
      <c r="Z57" s="347" t="s">
        <v>137</v>
      </c>
      <c r="AA57" s="93" t="s">
        <v>119</v>
      </c>
      <c r="AB57" s="93" t="s">
        <v>457</v>
      </c>
      <c r="AC57" s="93" t="s">
        <v>458</v>
      </c>
    </row>
    <row r="58" spans="1:35" s="17" customFormat="1" ht="32" x14ac:dyDescent="0.2">
      <c r="A58" s="23">
        <v>9</v>
      </c>
      <c r="B58" s="30">
        <v>8</v>
      </c>
      <c r="C58" s="274" t="s">
        <v>230</v>
      </c>
      <c r="D58" s="109" t="s">
        <v>211</v>
      </c>
      <c r="E58" s="106" t="s">
        <v>120</v>
      </c>
      <c r="F58" s="258" t="s">
        <v>432</v>
      </c>
      <c r="G58" s="94">
        <v>55</v>
      </c>
      <c r="H58" s="98" t="s">
        <v>121</v>
      </c>
      <c r="I58" s="62" t="s">
        <v>458</v>
      </c>
      <c r="J58" s="62" t="s">
        <v>458</v>
      </c>
      <c r="K58" s="62" t="s">
        <v>458</v>
      </c>
      <c r="L58" s="99" t="s">
        <v>458</v>
      </c>
      <c r="M58" s="99" t="s">
        <v>458</v>
      </c>
      <c r="N58" s="99" t="s">
        <v>458</v>
      </c>
      <c r="O58" s="99" t="s">
        <v>458</v>
      </c>
      <c r="P58" s="99" t="s">
        <v>458</v>
      </c>
      <c r="Q58" s="99" t="s">
        <v>458</v>
      </c>
      <c r="R58" s="103">
        <v>60</v>
      </c>
      <c r="S58" s="94">
        <v>7</v>
      </c>
      <c r="T58" s="94">
        <v>55</v>
      </c>
      <c r="U58" s="98" t="s">
        <v>458</v>
      </c>
      <c r="V58" s="40" t="s">
        <v>458</v>
      </c>
      <c r="W58" s="40" t="s">
        <v>458</v>
      </c>
      <c r="X58" s="40" t="s">
        <v>458</v>
      </c>
      <c r="Y58" s="98" t="s">
        <v>458</v>
      </c>
      <c r="Z58" s="351" t="s">
        <v>137</v>
      </c>
      <c r="AA58" s="106" t="s">
        <v>119</v>
      </c>
      <c r="AB58" s="106" t="s">
        <v>457</v>
      </c>
      <c r="AC58" s="106" t="s">
        <v>458</v>
      </c>
      <c r="AG58" s="94"/>
    </row>
    <row r="59" spans="1:35" customFormat="1" ht="16" x14ac:dyDescent="0.2">
      <c r="A59" s="21">
        <v>10</v>
      </c>
      <c r="B59" s="29">
        <v>8</v>
      </c>
      <c r="C59" s="29" t="s">
        <v>242</v>
      </c>
      <c r="D59" s="117" t="s">
        <v>211</v>
      </c>
      <c r="E59" s="93" t="s">
        <v>120</v>
      </c>
      <c r="F59" s="259" t="s">
        <v>428</v>
      </c>
      <c r="G59" s="59">
        <v>37</v>
      </c>
      <c r="H59" s="97" t="s">
        <v>121</v>
      </c>
      <c r="I59" s="61" t="s">
        <v>458</v>
      </c>
      <c r="J59" s="61" t="s">
        <v>458</v>
      </c>
      <c r="K59" s="61" t="s">
        <v>458</v>
      </c>
      <c r="L59" s="95" t="s">
        <v>458</v>
      </c>
      <c r="M59" s="95" t="s">
        <v>458</v>
      </c>
      <c r="N59" s="95" t="s">
        <v>458</v>
      </c>
      <c r="O59" s="95" t="s">
        <v>458</v>
      </c>
      <c r="P59" s="95" t="s">
        <v>458</v>
      </c>
      <c r="Q59" s="95" t="s">
        <v>458</v>
      </c>
      <c r="R59" s="95" t="s">
        <v>458</v>
      </c>
      <c r="S59" s="95" t="s">
        <v>458</v>
      </c>
      <c r="T59" s="95" t="s">
        <v>458</v>
      </c>
      <c r="U59" s="97" t="s">
        <v>458</v>
      </c>
      <c r="V59" s="39" t="s">
        <v>458</v>
      </c>
      <c r="W59" s="39" t="s">
        <v>458</v>
      </c>
      <c r="X59" s="39" t="s">
        <v>458</v>
      </c>
      <c r="Y59" s="97" t="s">
        <v>458</v>
      </c>
      <c r="Z59" s="348" t="s">
        <v>241</v>
      </c>
      <c r="AA59" s="121" t="s">
        <v>247</v>
      </c>
      <c r="AB59" s="121" t="s">
        <v>457</v>
      </c>
      <c r="AC59" s="93" t="s">
        <v>458</v>
      </c>
      <c r="AD59" s="59"/>
      <c r="AE59" s="65"/>
      <c r="AF59" s="65"/>
      <c r="AG59" s="65"/>
      <c r="AH59" s="65"/>
      <c r="AI59" s="65"/>
    </row>
    <row r="60" spans="1:35" customFormat="1" ht="32" x14ac:dyDescent="0.2">
      <c r="A60" s="12">
        <v>11</v>
      </c>
      <c r="B60" s="12">
        <v>1</v>
      </c>
      <c r="C60" s="12" t="s">
        <v>29</v>
      </c>
      <c r="D60" s="117" t="s">
        <v>211</v>
      </c>
      <c r="E60" s="93" t="s">
        <v>120</v>
      </c>
      <c r="F60" s="160" t="s">
        <v>430</v>
      </c>
      <c r="G60" s="201">
        <v>23</v>
      </c>
      <c r="H60" s="202" t="s">
        <v>121</v>
      </c>
      <c r="I60" s="203" t="s">
        <v>458</v>
      </c>
      <c r="J60" s="203" t="s">
        <v>458</v>
      </c>
      <c r="K60" s="203" t="s">
        <v>458</v>
      </c>
      <c r="L60" s="203" t="s">
        <v>458</v>
      </c>
      <c r="M60" s="203" t="s">
        <v>458</v>
      </c>
      <c r="N60" s="203" t="s">
        <v>458</v>
      </c>
      <c r="O60" s="203" t="s">
        <v>458</v>
      </c>
      <c r="P60" s="203" t="s">
        <v>458</v>
      </c>
      <c r="Q60" s="203" t="s">
        <v>458</v>
      </c>
      <c r="R60" s="203">
        <v>45</v>
      </c>
      <c r="S60" s="203">
        <v>6</v>
      </c>
      <c r="T60" s="204" t="s">
        <v>458</v>
      </c>
      <c r="U60" s="97" t="s">
        <v>458</v>
      </c>
      <c r="V60" s="39" t="s">
        <v>458</v>
      </c>
      <c r="W60" s="39" t="s">
        <v>458</v>
      </c>
      <c r="X60" s="57">
        <v>18</v>
      </c>
      <c r="Y60" s="202" t="s">
        <v>458</v>
      </c>
      <c r="Z60" s="349" t="s">
        <v>137</v>
      </c>
      <c r="AA60" s="264" t="s">
        <v>435</v>
      </c>
      <c r="AB60" s="264" t="s">
        <v>457</v>
      </c>
      <c r="AC60" s="205" t="s">
        <v>258</v>
      </c>
      <c r="AD60" s="48"/>
      <c r="AE60" s="119"/>
      <c r="AF60" s="119"/>
      <c r="AG60" s="119"/>
      <c r="AH60" s="119"/>
      <c r="AI60" s="119"/>
    </row>
    <row r="61" spans="1:35" customFormat="1" ht="32" x14ac:dyDescent="0.2">
      <c r="A61" s="25">
        <v>11</v>
      </c>
      <c r="B61" s="31">
        <v>2</v>
      </c>
      <c r="C61" s="31" t="s">
        <v>248</v>
      </c>
      <c r="D61" s="117" t="s">
        <v>211</v>
      </c>
      <c r="E61" s="93" t="s">
        <v>120</v>
      </c>
      <c r="F61" s="160" t="s">
        <v>430</v>
      </c>
      <c r="G61" s="201">
        <v>23</v>
      </c>
      <c r="H61" s="97" t="s">
        <v>121</v>
      </c>
      <c r="I61" s="61" t="s">
        <v>458</v>
      </c>
      <c r="J61" s="61" t="s">
        <v>458</v>
      </c>
      <c r="K61" s="61" t="s">
        <v>458</v>
      </c>
      <c r="L61" s="95" t="s">
        <v>458</v>
      </c>
      <c r="M61" s="95" t="s">
        <v>458</v>
      </c>
      <c r="N61" s="95" t="s">
        <v>458</v>
      </c>
      <c r="O61" s="95" t="s">
        <v>458</v>
      </c>
      <c r="P61" s="95" t="s">
        <v>458</v>
      </c>
      <c r="Q61" s="95" t="s">
        <v>458</v>
      </c>
      <c r="R61" s="95">
        <v>45</v>
      </c>
      <c r="S61" s="95">
        <v>6</v>
      </c>
      <c r="T61" s="95" t="s">
        <v>458</v>
      </c>
      <c r="U61" s="97" t="s">
        <v>458</v>
      </c>
      <c r="V61" s="39" t="s">
        <v>458</v>
      </c>
      <c r="W61" s="39" t="s">
        <v>458</v>
      </c>
      <c r="X61" s="57">
        <v>18</v>
      </c>
      <c r="Y61" s="97" t="s">
        <v>458</v>
      </c>
      <c r="Z61" s="350" t="s">
        <v>137</v>
      </c>
      <c r="AA61" s="259" t="s">
        <v>436</v>
      </c>
      <c r="AB61" s="259" t="s">
        <v>457</v>
      </c>
      <c r="AC61" s="170" t="s">
        <v>258</v>
      </c>
      <c r="AD61" s="48"/>
      <c r="AE61" s="119"/>
      <c r="AF61" s="119"/>
      <c r="AG61" s="119"/>
      <c r="AH61" s="119"/>
      <c r="AI61" s="119"/>
    </row>
    <row r="62" spans="1:35" ht="16" x14ac:dyDescent="0.2">
      <c r="A62" s="25">
        <v>12</v>
      </c>
      <c r="B62" s="31">
        <v>1</v>
      </c>
      <c r="C62" s="31" t="s">
        <v>51</v>
      </c>
      <c r="D62" s="117" t="s">
        <v>211</v>
      </c>
      <c r="E62" s="93" t="s">
        <v>120</v>
      </c>
      <c r="F62" s="318" t="s">
        <v>477</v>
      </c>
      <c r="G62" s="38">
        <v>29</v>
      </c>
      <c r="H62" s="97" t="s">
        <v>121</v>
      </c>
      <c r="I62" s="61" t="s">
        <v>458</v>
      </c>
      <c r="J62" s="61" t="s">
        <v>458</v>
      </c>
      <c r="K62" s="61" t="s">
        <v>458</v>
      </c>
      <c r="L62" s="95" t="s">
        <v>458</v>
      </c>
      <c r="M62" s="95" t="s">
        <v>458</v>
      </c>
      <c r="N62" s="95" t="s">
        <v>458</v>
      </c>
      <c r="O62" s="129">
        <v>50.5</v>
      </c>
      <c r="P62" s="129">
        <v>7.02</v>
      </c>
      <c r="Q62" s="38">
        <v>29</v>
      </c>
      <c r="R62" s="97" t="s">
        <v>458</v>
      </c>
      <c r="S62" s="97" t="s">
        <v>458</v>
      </c>
      <c r="T62" s="97" t="s">
        <v>458</v>
      </c>
      <c r="U62" s="97" t="s">
        <v>458</v>
      </c>
      <c r="V62" s="39" t="s">
        <v>458</v>
      </c>
      <c r="W62" s="39" t="s">
        <v>458</v>
      </c>
      <c r="X62" s="39" t="s">
        <v>458</v>
      </c>
      <c r="Y62" s="97" t="s">
        <v>458</v>
      </c>
      <c r="Z62" s="347" t="s">
        <v>137</v>
      </c>
      <c r="AA62" s="259" t="s">
        <v>122</v>
      </c>
      <c r="AB62" s="259" t="s">
        <v>459</v>
      </c>
      <c r="AC62" s="153" t="s">
        <v>458</v>
      </c>
    </row>
    <row r="63" spans="1:35" ht="16" x14ac:dyDescent="0.2">
      <c r="A63" s="25">
        <v>12</v>
      </c>
      <c r="B63" s="31">
        <v>2</v>
      </c>
      <c r="C63" s="31" t="s">
        <v>52</v>
      </c>
      <c r="D63" s="117" t="s">
        <v>211</v>
      </c>
      <c r="E63" s="93" t="s">
        <v>120</v>
      </c>
      <c r="F63" s="318" t="s">
        <v>477</v>
      </c>
      <c r="G63" s="38">
        <v>29</v>
      </c>
      <c r="H63" s="97" t="s">
        <v>121</v>
      </c>
      <c r="I63" s="61" t="s">
        <v>458</v>
      </c>
      <c r="J63" s="61" t="s">
        <v>458</v>
      </c>
      <c r="K63" s="61" t="s">
        <v>458</v>
      </c>
      <c r="L63" s="95" t="s">
        <v>458</v>
      </c>
      <c r="M63" s="95" t="s">
        <v>458</v>
      </c>
      <c r="N63" s="95" t="s">
        <v>458</v>
      </c>
      <c r="O63" s="129">
        <v>50.5</v>
      </c>
      <c r="P63" s="129">
        <v>7.02</v>
      </c>
      <c r="Q63" s="38">
        <v>29</v>
      </c>
      <c r="R63" s="97" t="s">
        <v>458</v>
      </c>
      <c r="S63" s="97" t="s">
        <v>458</v>
      </c>
      <c r="T63" s="97" t="s">
        <v>458</v>
      </c>
      <c r="U63" s="97" t="s">
        <v>458</v>
      </c>
      <c r="V63" s="39" t="s">
        <v>458</v>
      </c>
      <c r="W63" s="39" t="s">
        <v>458</v>
      </c>
      <c r="X63" s="39" t="s">
        <v>458</v>
      </c>
      <c r="Y63" s="97" t="s">
        <v>458</v>
      </c>
      <c r="Z63" s="347" t="s">
        <v>137</v>
      </c>
      <c r="AA63" s="259" t="s">
        <v>122</v>
      </c>
      <c r="AB63" s="259" t="s">
        <v>459</v>
      </c>
      <c r="AC63" s="153" t="s">
        <v>458</v>
      </c>
    </row>
    <row r="64" spans="1:35" ht="16" x14ac:dyDescent="0.2">
      <c r="A64" s="25">
        <v>12</v>
      </c>
      <c r="B64" s="31">
        <v>3</v>
      </c>
      <c r="C64" s="31" t="s">
        <v>53</v>
      </c>
      <c r="D64" s="117" t="s">
        <v>211</v>
      </c>
      <c r="E64" s="93" t="s">
        <v>120</v>
      </c>
      <c r="F64" s="318" t="s">
        <v>477</v>
      </c>
      <c r="G64" s="38">
        <v>29</v>
      </c>
      <c r="H64" s="97" t="s">
        <v>121</v>
      </c>
      <c r="I64" s="61" t="s">
        <v>458</v>
      </c>
      <c r="J64" s="61" t="s">
        <v>458</v>
      </c>
      <c r="K64" s="61" t="s">
        <v>458</v>
      </c>
      <c r="L64" s="95" t="s">
        <v>458</v>
      </c>
      <c r="M64" s="95" t="s">
        <v>458</v>
      </c>
      <c r="N64" s="95" t="s">
        <v>458</v>
      </c>
      <c r="O64" s="129">
        <v>50.5</v>
      </c>
      <c r="P64" s="129">
        <v>7.02</v>
      </c>
      <c r="Q64" s="38">
        <v>29</v>
      </c>
      <c r="R64" s="97" t="s">
        <v>458</v>
      </c>
      <c r="S64" s="97" t="s">
        <v>458</v>
      </c>
      <c r="T64" s="97" t="s">
        <v>458</v>
      </c>
      <c r="U64" s="97" t="s">
        <v>458</v>
      </c>
      <c r="V64" s="39" t="s">
        <v>458</v>
      </c>
      <c r="W64" s="39" t="s">
        <v>458</v>
      </c>
      <c r="X64" s="39" t="s">
        <v>458</v>
      </c>
      <c r="Y64" s="97" t="s">
        <v>458</v>
      </c>
      <c r="Z64" s="347" t="s">
        <v>137</v>
      </c>
      <c r="AA64" s="259" t="s">
        <v>122</v>
      </c>
      <c r="AB64" s="259" t="s">
        <v>459</v>
      </c>
      <c r="AC64" s="153" t="s">
        <v>458</v>
      </c>
    </row>
    <row r="65" spans="1:29" ht="16" x14ac:dyDescent="0.2">
      <c r="A65" s="25">
        <v>12</v>
      </c>
      <c r="B65" s="31">
        <v>4</v>
      </c>
      <c r="C65" s="31" t="s">
        <v>54</v>
      </c>
      <c r="D65" s="117" t="s">
        <v>211</v>
      </c>
      <c r="E65" s="93" t="s">
        <v>120</v>
      </c>
      <c r="F65" s="318" t="s">
        <v>477</v>
      </c>
      <c r="G65" s="38">
        <v>29</v>
      </c>
      <c r="H65" s="97" t="s">
        <v>121</v>
      </c>
      <c r="I65" s="61" t="s">
        <v>458</v>
      </c>
      <c r="J65" s="61" t="s">
        <v>458</v>
      </c>
      <c r="K65" s="61" t="s">
        <v>458</v>
      </c>
      <c r="L65" s="95" t="s">
        <v>458</v>
      </c>
      <c r="M65" s="95" t="s">
        <v>458</v>
      </c>
      <c r="N65" s="95" t="s">
        <v>458</v>
      </c>
      <c r="O65" s="129">
        <v>50.5</v>
      </c>
      <c r="P65" s="129">
        <v>7.02</v>
      </c>
      <c r="Q65" s="38">
        <v>29</v>
      </c>
      <c r="R65" s="97" t="s">
        <v>458</v>
      </c>
      <c r="S65" s="97" t="s">
        <v>458</v>
      </c>
      <c r="T65" s="97" t="s">
        <v>458</v>
      </c>
      <c r="U65" s="97" t="s">
        <v>458</v>
      </c>
      <c r="V65" s="39" t="s">
        <v>458</v>
      </c>
      <c r="W65" s="39" t="s">
        <v>458</v>
      </c>
      <c r="X65" s="39" t="s">
        <v>458</v>
      </c>
      <c r="Y65" s="97" t="s">
        <v>458</v>
      </c>
      <c r="Z65" s="347" t="s">
        <v>137</v>
      </c>
      <c r="AA65" s="259" t="s">
        <v>122</v>
      </c>
      <c r="AB65" s="259" t="s">
        <v>459</v>
      </c>
      <c r="AC65" s="153" t="s">
        <v>458</v>
      </c>
    </row>
    <row r="66" spans="1:29" ht="16" x14ac:dyDescent="0.2">
      <c r="A66" s="25">
        <v>12</v>
      </c>
      <c r="B66" s="31">
        <v>5</v>
      </c>
      <c r="C66" s="31" t="s">
        <v>55</v>
      </c>
      <c r="D66" s="117" t="s">
        <v>211</v>
      </c>
      <c r="E66" s="93" t="s">
        <v>120</v>
      </c>
      <c r="F66" s="318" t="s">
        <v>477</v>
      </c>
      <c r="G66" s="38">
        <v>29</v>
      </c>
      <c r="H66" s="97" t="s">
        <v>121</v>
      </c>
      <c r="I66" s="61" t="s">
        <v>458</v>
      </c>
      <c r="J66" s="61" t="s">
        <v>458</v>
      </c>
      <c r="K66" s="61" t="s">
        <v>458</v>
      </c>
      <c r="L66" s="95" t="s">
        <v>458</v>
      </c>
      <c r="M66" s="95" t="s">
        <v>458</v>
      </c>
      <c r="N66" s="95" t="s">
        <v>458</v>
      </c>
      <c r="O66" s="129">
        <v>50.5</v>
      </c>
      <c r="P66" s="129">
        <v>7.02</v>
      </c>
      <c r="Q66" s="38">
        <v>29</v>
      </c>
      <c r="R66" s="97" t="s">
        <v>458</v>
      </c>
      <c r="S66" s="97" t="s">
        <v>458</v>
      </c>
      <c r="T66" s="97" t="s">
        <v>458</v>
      </c>
      <c r="U66" s="97" t="s">
        <v>458</v>
      </c>
      <c r="V66" s="39" t="s">
        <v>458</v>
      </c>
      <c r="W66" s="39" t="s">
        <v>458</v>
      </c>
      <c r="X66" s="39" t="s">
        <v>458</v>
      </c>
      <c r="Y66" s="97" t="s">
        <v>458</v>
      </c>
      <c r="Z66" s="347" t="s">
        <v>137</v>
      </c>
      <c r="AA66" s="259" t="s">
        <v>122</v>
      </c>
      <c r="AB66" s="259" t="s">
        <v>459</v>
      </c>
      <c r="AC66" s="153" t="s">
        <v>458</v>
      </c>
    </row>
    <row r="67" spans="1:29" s="17" customFormat="1" ht="16" x14ac:dyDescent="0.2">
      <c r="A67" s="26">
        <v>12</v>
      </c>
      <c r="B67" s="32">
        <v>6</v>
      </c>
      <c r="C67" s="32" t="s">
        <v>56</v>
      </c>
      <c r="D67" s="109" t="s">
        <v>211</v>
      </c>
      <c r="E67" s="106" t="s">
        <v>120</v>
      </c>
      <c r="F67" s="318" t="s">
        <v>477</v>
      </c>
      <c r="G67" s="94">
        <v>29</v>
      </c>
      <c r="H67" s="98" t="s">
        <v>121</v>
      </c>
      <c r="I67" s="62" t="s">
        <v>458</v>
      </c>
      <c r="J67" s="62" t="s">
        <v>458</v>
      </c>
      <c r="K67" s="62" t="s">
        <v>458</v>
      </c>
      <c r="L67" s="99" t="s">
        <v>458</v>
      </c>
      <c r="M67" s="99" t="s">
        <v>458</v>
      </c>
      <c r="N67" s="99" t="s">
        <v>458</v>
      </c>
      <c r="O67" s="130">
        <v>50.5</v>
      </c>
      <c r="P67" s="130">
        <v>7.02</v>
      </c>
      <c r="Q67" s="94">
        <v>29</v>
      </c>
      <c r="R67" s="98" t="s">
        <v>458</v>
      </c>
      <c r="S67" s="98" t="s">
        <v>458</v>
      </c>
      <c r="T67" s="98" t="s">
        <v>458</v>
      </c>
      <c r="U67" s="98" t="s">
        <v>458</v>
      </c>
      <c r="V67" s="40" t="s">
        <v>458</v>
      </c>
      <c r="W67" s="40" t="s">
        <v>458</v>
      </c>
      <c r="X67" s="40" t="s">
        <v>458</v>
      </c>
      <c r="Y67" s="98" t="s">
        <v>458</v>
      </c>
      <c r="Z67" s="351" t="s">
        <v>137</v>
      </c>
      <c r="AA67" s="248" t="s">
        <v>122</v>
      </c>
      <c r="AB67" s="248" t="s">
        <v>459</v>
      </c>
      <c r="AC67" s="154" t="s">
        <v>458</v>
      </c>
    </row>
    <row r="68" spans="1:29" ht="16" x14ac:dyDescent="0.2">
      <c r="A68" s="25">
        <v>13</v>
      </c>
      <c r="B68" s="33">
        <v>1</v>
      </c>
      <c r="C68" s="31" t="s">
        <v>58</v>
      </c>
      <c r="D68" s="138" t="s">
        <v>278</v>
      </c>
      <c r="E68" s="93" t="s">
        <v>120</v>
      </c>
      <c r="F68" s="318" t="s">
        <v>477</v>
      </c>
      <c r="G68" s="136">
        <v>22.9</v>
      </c>
      <c r="H68" s="97" t="s">
        <v>121</v>
      </c>
      <c r="I68" s="61" t="s">
        <v>458</v>
      </c>
      <c r="J68" s="61" t="s">
        <v>458</v>
      </c>
      <c r="K68" s="61" t="s">
        <v>458</v>
      </c>
      <c r="L68" s="95" t="s">
        <v>458</v>
      </c>
      <c r="M68" s="95" t="s">
        <v>458</v>
      </c>
      <c r="N68" s="95" t="s">
        <v>458</v>
      </c>
      <c r="O68" s="136">
        <v>40.799999999999997</v>
      </c>
      <c r="P68" s="136">
        <v>6.6</v>
      </c>
      <c r="Q68" s="140">
        <v>22.7</v>
      </c>
      <c r="R68" s="97" t="s">
        <v>458</v>
      </c>
      <c r="S68" s="97" t="s">
        <v>458</v>
      </c>
      <c r="T68" s="97" t="s">
        <v>458</v>
      </c>
      <c r="U68" s="97" t="s">
        <v>458</v>
      </c>
      <c r="V68" s="39" t="s">
        <v>458</v>
      </c>
      <c r="W68" s="39" t="s">
        <v>458</v>
      </c>
      <c r="X68" s="39" t="s">
        <v>458</v>
      </c>
      <c r="Y68" s="97" t="s">
        <v>458</v>
      </c>
      <c r="Z68" s="347" t="s">
        <v>137</v>
      </c>
      <c r="AA68" s="259" t="s">
        <v>122</v>
      </c>
      <c r="AB68" s="259" t="s">
        <v>460</v>
      </c>
      <c r="AC68" s="41" t="s">
        <v>453</v>
      </c>
    </row>
    <row r="69" spans="1:29" ht="16" x14ac:dyDescent="0.2">
      <c r="A69" s="25">
        <v>13</v>
      </c>
      <c r="B69" s="31">
        <v>2</v>
      </c>
      <c r="C69" s="31" t="s">
        <v>59</v>
      </c>
      <c r="D69" s="138" t="s">
        <v>278</v>
      </c>
      <c r="E69" s="93" t="s">
        <v>120</v>
      </c>
      <c r="F69" s="318" t="s">
        <v>477</v>
      </c>
      <c r="G69" s="136">
        <v>22.9</v>
      </c>
      <c r="H69" s="97" t="s">
        <v>121</v>
      </c>
      <c r="I69" s="61" t="s">
        <v>458</v>
      </c>
      <c r="J69" s="61" t="s">
        <v>458</v>
      </c>
      <c r="K69" s="61" t="s">
        <v>458</v>
      </c>
      <c r="L69" s="95" t="s">
        <v>458</v>
      </c>
      <c r="M69" s="95" t="s">
        <v>458</v>
      </c>
      <c r="N69" s="95" t="s">
        <v>458</v>
      </c>
      <c r="O69" s="136">
        <v>40.799999999999997</v>
      </c>
      <c r="P69" s="136">
        <v>6.6</v>
      </c>
      <c r="Q69" s="140">
        <v>22.7</v>
      </c>
      <c r="R69" s="97" t="s">
        <v>458</v>
      </c>
      <c r="S69" s="97" t="s">
        <v>458</v>
      </c>
      <c r="T69" s="97" t="s">
        <v>458</v>
      </c>
      <c r="U69" s="97" t="s">
        <v>458</v>
      </c>
      <c r="V69" s="39" t="s">
        <v>458</v>
      </c>
      <c r="W69" s="39" t="s">
        <v>458</v>
      </c>
      <c r="X69" s="39" t="s">
        <v>458</v>
      </c>
      <c r="Y69" s="97" t="s">
        <v>458</v>
      </c>
      <c r="Z69" s="347" t="s">
        <v>137</v>
      </c>
      <c r="AA69" s="259" t="s">
        <v>122</v>
      </c>
      <c r="AB69" s="259" t="s">
        <v>460</v>
      </c>
      <c r="AC69" s="41" t="s">
        <v>453</v>
      </c>
    </row>
    <row r="70" spans="1:29" ht="16" x14ac:dyDescent="0.2">
      <c r="A70" s="25">
        <v>13</v>
      </c>
      <c r="B70" s="31">
        <v>3</v>
      </c>
      <c r="C70" s="29" t="s">
        <v>57</v>
      </c>
      <c r="D70" s="138" t="s">
        <v>278</v>
      </c>
      <c r="E70" s="93" t="s">
        <v>120</v>
      </c>
      <c r="F70" s="318" t="s">
        <v>477</v>
      </c>
      <c r="G70" s="136">
        <v>22.9</v>
      </c>
      <c r="H70" s="97" t="s">
        <v>121</v>
      </c>
      <c r="I70" s="61" t="s">
        <v>458</v>
      </c>
      <c r="J70" s="61" t="s">
        <v>458</v>
      </c>
      <c r="K70" s="61" t="s">
        <v>458</v>
      </c>
      <c r="L70" s="95" t="s">
        <v>458</v>
      </c>
      <c r="M70" s="95" t="s">
        <v>458</v>
      </c>
      <c r="N70" s="95" t="s">
        <v>458</v>
      </c>
      <c r="O70" s="136">
        <v>40.799999999999997</v>
      </c>
      <c r="P70" s="136">
        <v>6.6</v>
      </c>
      <c r="Q70" s="140">
        <v>22.7</v>
      </c>
      <c r="R70" s="97" t="s">
        <v>458</v>
      </c>
      <c r="S70" s="97" t="s">
        <v>458</v>
      </c>
      <c r="T70" s="97" t="s">
        <v>458</v>
      </c>
      <c r="U70" s="97" t="s">
        <v>458</v>
      </c>
      <c r="V70" s="39" t="s">
        <v>458</v>
      </c>
      <c r="W70" s="39" t="s">
        <v>458</v>
      </c>
      <c r="X70" s="39" t="s">
        <v>458</v>
      </c>
      <c r="Y70" s="97" t="s">
        <v>458</v>
      </c>
      <c r="Z70" s="347" t="s">
        <v>137</v>
      </c>
      <c r="AA70" s="259" t="s">
        <v>122</v>
      </c>
      <c r="AB70" s="259" t="s">
        <v>460</v>
      </c>
      <c r="AC70" s="41" t="s">
        <v>453</v>
      </c>
    </row>
    <row r="71" spans="1:29" ht="16" x14ac:dyDescent="0.2">
      <c r="A71" s="25">
        <v>13</v>
      </c>
      <c r="B71" s="31">
        <v>4</v>
      </c>
      <c r="C71" s="29" t="s">
        <v>60</v>
      </c>
      <c r="D71" s="138" t="s">
        <v>278</v>
      </c>
      <c r="E71" s="93" t="s">
        <v>120</v>
      </c>
      <c r="F71" s="318" t="s">
        <v>477</v>
      </c>
      <c r="G71" s="136">
        <v>22.9</v>
      </c>
      <c r="H71" s="97" t="s">
        <v>121</v>
      </c>
      <c r="I71" s="61" t="s">
        <v>458</v>
      </c>
      <c r="J71" s="61" t="s">
        <v>458</v>
      </c>
      <c r="K71" s="61" t="s">
        <v>458</v>
      </c>
      <c r="L71" s="95" t="s">
        <v>458</v>
      </c>
      <c r="M71" s="95" t="s">
        <v>458</v>
      </c>
      <c r="N71" s="95" t="s">
        <v>458</v>
      </c>
      <c r="O71" s="136">
        <v>40.799999999999997</v>
      </c>
      <c r="P71" s="136">
        <v>6.6</v>
      </c>
      <c r="Q71" s="140">
        <v>22.7</v>
      </c>
      <c r="R71" s="97" t="s">
        <v>458</v>
      </c>
      <c r="S71" s="97" t="s">
        <v>458</v>
      </c>
      <c r="T71" s="97" t="s">
        <v>458</v>
      </c>
      <c r="U71" s="97" t="s">
        <v>458</v>
      </c>
      <c r="V71" s="39" t="s">
        <v>458</v>
      </c>
      <c r="W71" s="39" t="s">
        <v>458</v>
      </c>
      <c r="X71" s="39" t="s">
        <v>458</v>
      </c>
      <c r="Y71" s="97" t="s">
        <v>458</v>
      </c>
      <c r="Z71" s="347" t="s">
        <v>137</v>
      </c>
      <c r="AA71" s="259" t="s">
        <v>122</v>
      </c>
      <c r="AB71" s="259" t="s">
        <v>460</v>
      </c>
      <c r="AC71" s="41" t="s">
        <v>453</v>
      </c>
    </row>
    <row r="72" spans="1:29" s="17" customFormat="1" ht="16" x14ac:dyDescent="0.2">
      <c r="A72" s="26">
        <v>13</v>
      </c>
      <c r="B72" s="32">
        <v>5</v>
      </c>
      <c r="C72" s="32" t="s">
        <v>136</v>
      </c>
      <c r="D72" s="142" t="s">
        <v>278</v>
      </c>
      <c r="E72" s="106" t="s">
        <v>120</v>
      </c>
      <c r="F72" s="318" t="s">
        <v>477</v>
      </c>
      <c r="G72" s="137">
        <v>22.9</v>
      </c>
      <c r="H72" s="98" t="s">
        <v>121</v>
      </c>
      <c r="I72" s="62" t="s">
        <v>458</v>
      </c>
      <c r="J72" s="62" t="s">
        <v>458</v>
      </c>
      <c r="K72" s="62" t="s">
        <v>458</v>
      </c>
      <c r="L72" s="99" t="s">
        <v>458</v>
      </c>
      <c r="M72" s="99" t="s">
        <v>458</v>
      </c>
      <c r="N72" s="99" t="s">
        <v>458</v>
      </c>
      <c r="O72" s="137">
        <v>40.799999999999997</v>
      </c>
      <c r="P72" s="137">
        <v>6.6</v>
      </c>
      <c r="Q72" s="143">
        <v>22.7</v>
      </c>
      <c r="R72" s="98" t="s">
        <v>458</v>
      </c>
      <c r="S72" s="98" t="s">
        <v>458</v>
      </c>
      <c r="T72" s="98" t="s">
        <v>458</v>
      </c>
      <c r="U72" s="98" t="s">
        <v>458</v>
      </c>
      <c r="V72" s="40" t="s">
        <v>458</v>
      </c>
      <c r="W72" s="40" t="s">
        <v>458</v>
      </c>
      <c r="X72" s="40" t="s">
        <v>458</v>
      </c>
      <c r="Y72" s="98" t="s">
        <v>458</v>
      </c>
      <c r="Z72" s="351" t="s">
        <v>137</v>
      </c>
      <c r="AA72" s="248" t="s">
        <v>122</v>
      </c>
      <c r="AB72" s="259" t="s">
        <v>460</v>
      </c>
      <c r="AC72" s="41" t="s">
        <v>453</v>
      </c>
    </row>
    <row r="73" spans="1:29" ht="16" x14ac:dyDescent="0.2">
      <c r="A73" s="25">
        <v>14</v>
      </c>
      <c r="B73" s="31">
        <v>1</v>
      </c>
      <c r="C73" s="31" t="s">
        <v>62</v>
      </c>
      <c r="D73" s="117" t="s">
        <v>211</v>
      </c>
      <c r="E73" s="93" t="s">
        <v>120</v>
      </c>
      <c r="F73" s="318" t="s">
        <v>477</v>
      </c>
      <c r="G73" s="38" t="s">
        <v>458</v>
      </c>
      <c r="H73" s="38" t="s">
        <v>458</v>
      </c>
      <c r="I73" s="37" t="s">
        <v>458</v>
      </c>
      <c r="J73" s="37" t="s">
        <v>458</v>
      </c>
      <c r="K73" s="37" t="s">
        <v>458</v>
      </c>
      <c r="L73" s="38" t="s">
        <v>458</v>
      </c>
      <c r="M73" s="38" t="s">
        <v>458</v>
      </c>
      <c r="N73" s="38" t="s">
        <v>458</v>
      </c>
      <c r="O73" s="102">
        <v>20</v>
      </c>
      <c r="P73" s="38" t="s">
        <v>458</v>
      </c>
      <c r="Q73" s="38" t="s">
        <v>458</v>
      </c>
      <c r="R73" s="38" t="s">
        <v>458</v>
      </c>
      <c r="S73" s="38" t="s">
        <v>458</v>
      </c>
      <c r="T73" s="38" t="s">
        <v>458</v>
      </c>
      <c r="U73" s="38" t="s">
        <v>458</v>
      </c>
      <c r="V73" s="37" t="s">
        <v>458</v>
      </c>
      <c r="W73" s="37" t="s">
        <v>458</v>
      </c>
      <c r="X73" s="37" t="s">
        <v>458</v>
      </c>
      <c r="Y73" s="38" t="s">
        <v>458</v>
      </c>
      <c r="Z73" s="352" t="s">
        <v>458</v>
      </c>
      <c r="AA73" s="259" t="s">
        <v>122</v>
      </c>
      <c r="AB73" s="259" t="s">
        <v>459</v>
      </c>
      <c r="AC73" s="37" t="s">
        <v>458</v>
      </c>
    </row>
    <row r="74" spans="1:29" ht="16" x14ac:dyDescent="0.2">
      <c r="A74" s="25">
        <v>14</v>
      </c>
      <c r="B74" s="31">
        <v>2</v>
      </c>
      <c r="C74" s="31" t="s">
        <v>63</v>
      </c>
      <c r="D74" s="117" t="s">
        <v>211</v>
      </c>
      <c r="E74" s="93" t="s">
        <v>120</v>
      </c>
      <c r="F74" s="318" t="s">
        <v>477</v>
      </c>
      <c r="G74" s="38" t="s">
        <v>458</v>
      </c>
      <c r="H74" s="38" t="s">
        <v>458</v>
      </c>
      <c r="I74" s="37" t="s">
        <v>458</v>
      </c>
      <c r="J74" s="37" t="s">
        <v>458</v>
      </c>
      <c r="K74" s="37" t="s">
        <v>458</v>
      </c>
      <c r="L74" s="38" t="s">
        <v>458</v>
      </c>
      <c r="M74" s="38" t="s">
        <v>458</v>
      </c>
      <c r="N74" s="38" t="s">
        <v>458</v>
      </c>
      <c r="O74" s="102">
        <v>20</v>
      </c>
      <c r="P74" s="38" t="s">
        <v>458</v>
      </c>
      <c r="Q74" s="38" t="s">
        <v>458</v>
      </c>
      <c r="R74" s="38" t="s">
        <v>458</v>
      </c>
      <c r="S74" s="38" t="s">
        <v>458</v>
      </c>
      <c r="T74" s="38" t="s">
        <v>458</v>
      </c>
      <c r="U74" s="38" t="s">
        <v>458</v>
      </c>
      <c r="V74" s="37" t="s">
        <v>458</v>
      </c>
      <c r="W74" s="37" t="s">
        <v>458</v>
      </c>
      <c r="X74" s="37" t="s">
        <v>458</v>
      </c>
      <c r="Y74" s="38" t="s">
        <v>458</v>
      </c>
      <c r="Z74" s="352" t="s">
        <v>140</v>
      </c>
      <c r="AA74" s="259" t="s">
        <v>122</v>
      </c>
      <c r="AB74" s="259" t="s">
        <v>459</v>
      </c>
      <c r="AC74" s="37" t="s">
        <v>458</v>
      </c>
    </row>
    <row r="75" spans="1:29" ht="16" x14ac:dyDescent="0.2">
      <c r="A75" s="25">
        <v>14</v>
      </c>
      <c r="B75" s="31">
        <v>3</v>
      </c>
      <c r="C75" s="31" t="s">
        <v>64</v>
      </c>
      <c r="D75" s="117" t="s">
        <v>211</v>
      </c>
      <c r="E75" s="93" t="s">
        <v>120</v>
      </c>
      <c r="F75" s="318" t="s">
        <v>477</v>
      </c>
      <c r="G75" s="38" t="s">
        <v>458</v>
      </c>
      <c r="H75" s="38" t="s">
        <v>458</v>
      </c>
      <c r="I75" s="37" t="s">
        <v>458</v>
      </c>
      <c r="J75" s="37" t="s">
        <v>458</v>
      </c>
      <c r="K75" s="37" t="s">
        <v>458</v>
      </c>
      <c r="L75" s="38" t="s">
        <v>458</v>
      </c>
      <c r="M75" s="38" t="s">
        <v>458</v>
      </c>
      <c r="N75" s="38" t="s">
        <v>458</v>
      </c>
      <c r="O75" s="102">
        <v>20</v>
      </c>
      <c r="P75" s="38" t="s">
        <v>458</v>
      </c>
      <c r="Q75" s="38" t="s">
        <v>458</v>
      </c>
      <c r="R75" s="38" t="s">
        <v>458</v>
      </c>
      <c r="S75" s="38" t="s">
        <v>458</v>
      </c>
      <c r="T75" s="38" t="s">
        <v>458</v>
      </c>
      <c r="U75" s="38" t="s">
        <v>458</v>
      </c>
      <c r="V75" s="37" t="s">
        <v>458</v>
      </c>
      <c r="W75" s="37" t="s">
        <v>458</v>
      </c>
      <c r="X75" s="37" t="s">
        <v>458</v>
      </c>
      <c r="Y75" s="38" t="s">
        <v>458</v>
      </c>
      <c r="Z75" s="352" t="s">
        <v>292</v>
      </c>
      <c r="AA75" s="259" t="s">
        <v>122</v>
      </c>
      <c r="AB75" s="259" t="s">
        <v>459</v>
      </c>
      <c r="AC75" s="37" t="s">
        <v>458</v>
      </c>
    </row>
    <row r="76" spans="1:29" s="17" customFormat="1" ht="32" x14ac:dyDescent="0.2">
      <c r="A76" s="26">
        <v>14</v>
      </c>
      <c r="B76" s="32">
        <v>4</v>
      </c>
      <c r="C76" s="32" t="s">
        <v>65</v>
      </c>
      <c r="D76" s="109" t="s">
        <v>211</v>
      </c>
      <c r="E76" s="106" t="s">
        <v>120</v>
      </c>
      <c r="F76" s="318" t="s">
        <v>477</v>
      </c>
      <c r="G76" s="94" t="s">
        <v>458</v>
      </c>
      <c r="H76" s="94" t="s">
        <v>458</v>
      </c>
      <c r="I76" s="36" t="s">
        <v>458</v>
      </c>
      <c r="J76" s="36" t="s">
        <v>458</v>
      </c>
      <c r="K76" s="36" t="s">
        <v>458</v>
      </c>
      <c r="L76" s="94" t="s">
        <v>458</v>
      </c>
      <c r="M76" s="94" t="s">
        <v>458</v>
      </c>
      <c r="N76" s="94" t="s">
        <v>458</v>
      </c>
      <c r="O76" s="103">
        <v>20</v>
      </c>
      <c r="P76" s="94" t="s">
        <v>458</v>
      </c>
      <c r="Q76" s="94" t="s">
        <v>458</v>
      </c>
      <c r="R76" s="94" t="s">
        <v>458</v>
      </c>
      <c r="S76" s="94" t="s">
        <v>458</v>
      </c>
      <c r="T76" s="94" t="s">
        <v>458</v>
      </c>
      <c r="U76" s="94" t="s">
        <v>458</v>
      </c>
      <c r="V76" s="36" t="s">
        <v>458</v>
      </c>
      <c r="W76" s="36" t="s">
        <v>458</v>
      </c>
      <c r="X76" s="36" t="s">
        <v>458</v>
      </c>
      <c r="Y76" s="94" t="s">
        <v>458</v>
      </c>
      <c r="Z76" s="151" t="s">
        <v>293</v>
      </c>
      <c r="AA76" s="248" t="s">
        <v>122</v>
      </c>
      <c r="AB76" s="248" t="s">
        <v>459</v>
      </c>
      <c r="AC76" s="36" t="s">
        <v>458</v>
      </c>
    </row>
    <row r="77" spans="1:29" ht="32" x14ac:dyDescent="0.2">
      <c r="A77" s="25">
        <v>15</v>
      </c>
      <c r="B77" s="31">
        <v>4</v>
      </c>
      <c r="C77" s="31" t="s">
        <v>29</v>
      </c>
      <c r="D77" s="117" t="s">
        <v>211</v>
      </c>
      <c r="E77" s="93" t="s">
        <v>120</v>
      </c>
      <c r="F77" s="257" t="s">
        <v>429</v>
      </c>
      <c r="G77" s="38">
        <v>58</v>
      </c>
      <c r="H77" s="97" t="s">
        <v>121</v>
      </c>
      <c r="I77" s="37" t="s">
        <v>458</v>
      </c>
      <c r="J77" s="37" t="s">
        <v>458</v>
      </c>
      <c r="K77" s="37" t="s">
        <v>458</v>
      </c>
      <c r="L77" s="38" t="s">
        <v>458</v>
      </c>
      <c r="M77" s="38" t="s">
        <v>458</v>
      </c>
      <c r="N77" s="38" t="s">
        <v>458</v>
      </c>
      <c r="O77" s="38" t="s">
        <v>458</v>
      </c>
      <c r="P77" s="38" t="s">
        <v>458</v>
      </c>
      <c r="Q77" s="38" t="s">
        <v>458</v>
      </c>
      <c r="R77" s="102">
        <v>55</v>
      </c>
      <c r="S77" s="16">
        <v>6.5</v>
      </c>
      <c r="T77" s="38">
        <v>58</v>
      </c>
      <c r="U77" s="149" t="s">
        <v>298</v>
      </c>
      <c r="V77" s="37" t="s">
        <v>458</v>
      </c>
      <c r="W77" s="37" t="s">
        <v>458</v>
      </c>
      <c r="X77" s="37">
        <v>28.9</v>
      </c>
      <c r="Y77" s="38" t="s">
        <v>458</v>
      </c>
      <c r="Z77" s="353" t="s">
        <v>299</v>
      </c>
      <c r="AA77" s="144" t="s">
        <v>124</v>
      </c>
      <c r="AB77" s="144" t="s">
        <v>457</v>
      </c>
      <c r="AC77" s="37" t="s">
        <v>297</v>
      </c>
    </row>
    <row r="78" spans="1:29" ht="16" x14ac:dyDescent="0.2">
      <c r="A78" s="25">
        <v>15</v>
      </c>
      <c r="B78" s="31">
        <v>5</v>
      </c>
      <c r="C78" s="31" t="s">
        <v>66</v>
      </c>
      <c r="D78" s="117" t="s">
        <v>211</v>
      </c>
      <c r="E78" s="93" t="s">
        <v>120</v>
      </c>
      <c r="F78" s="257" t="s">
        <v>429</v>
      </c>
      <c r="G78" s="38">
        <v>58</v>
      </c>
      <c r="H78" s="97" t="s">
        <v>121</v>
      </c>
      <c r="I78" s="37" t="s">
        <v>458</v>
      </c>
      <c r="J78" s="37" t="s">
        <v>458</v>
      </c>
      <c r="K78" s="37" t="s">
        <v>458</v>
      </c>
      <c r="L78" s="38" t="s">
        <v>458</v>
      </c>
      <c r="M78" s="38" t="s">
        <v>458</v>
      </c>
      <c r="N78" s="38" t="s">
        <v>458</v>
      </c>
      <c r="O78" s="38" t="s">
        <v>458</v>
      </c>
      <c r="P78" s="38" t="s">
        <v>458</v>
      </c>
      <c r="Q78" s="38" t="s">
        <v>458</v>
      </c>
      <c r="R78" s="102">
        <v>55</v>
      </c>
      <c r="S78" s="16">
        <v>6.5</v>
      </c>
      <c r="T78" s="38">
        <v>58</v>
      </c>
      <c r="U78" s="38">
        <v>0.54</v>
      </c>
      <c r="V78" s="37" t="s">
        <v>458</v>
      </c>
      <c r="W78" s="37" t="s">
        <v>458</v>
      </c>
      <c r="X78" s="37">
        <v>28.9</v>
      </c>
      <c r="Y78" s="38" t="s">
        <v>458</v>
      </c>
      <c r="Z78" s="353" t="s">
        <v>299</v>
      </c>
      <c r="AA78" s="144" t="s">
        <v>124</v>
      </c>
      <c r="AB78" s="144" t="s">
        <v>457</v>
      </c>
      <c r="AC78" s="37" t="s">
        <v>297</v>
      </c>
    </row>
    <row r="79" spans="1:29" s="17" customFormat="1" ht="16" x14ac:dyDescent="0.2">
      <c r="A79" s="26">
        <v>15</v>
      </c>
      <c r="B79" s="32">
        <v>6</v>
      </c>
      <c r="C79" s="32" t="s">
        <v>67</v>
      </c>
      <c r="D79" s="109" t="s">
        <v>211</v>
      </c>
      <c r="E79" s="106" t="s">
        <v>120</v>
      </c>
      <c r="F79" s="258" t="s">
        <v>429</v>
      </c>
      <c r="G79" s="94">
        <v>58</v>
      </c>
      <c r="H79" s="98" t="s">
        <v>121</v>
      </c>
      <c r="I79" s="36" t="s">
        <v>458</v>
      </c>
      <c r="J79" s="36" t="s">
        <v>458</v>
      </c>
      <c r="K79" s="36" t="s">
        <v>458</v>
      </c>
      <c r="L79" s="94" t="s">
        <v>458</v>
      </c>
      <c r="M79" s="94" t="s">
        <v>458</v>
      </c>
      <c r="N79" s="94" t="s">
        <v>458</v>
      </c>
      <c r="O79" s="94" t="s">
        <v>458</v>
      </c>
      <c r="P79" s="94" t="s">
        <v>458</v>
      </c>
      <c r="Q79" s="94" t="s">
        <v>458</v>
      </c>
      <c r="R79" s="103">
        <v>55</v>
      </c>
      <c r="S79" s="17">
        <v>6.5</v>
      </c>
      <c r="T79" s="94">
        <v>58</v>
      </c>
      <c r="U79" s="94">
        <v>0.55000000000000004</v>
      </c>
      <c r="V79" s="36" t="s">
        <v>458</v>
      </c>
      <c r="W79" s="36" t="s">
        <v>458</v>
      </c>
      <c r="X79" s="36">
        <v>28.9</v>
      </c>
      <c r="Y79" s="94" t="s">
        <v>458</v>
      </c>
      <c r="Z79" s="354" t="s">
        <v>137</v>
      </c>
      <c r="AA79" s="145" t="s">
        <v>124</v>
      </c>
      <c r="AB79" s="145" t="s">
        <v>457</v>
      </c>
      <c r="AC79" s="36" t="s">
        <v>297</v>
      </c>
    </row>
    <row r="80" spans="1:29" ht="16" x14ac:dyDescent="0.2">
      <c r="A80" s="21">
        <v>16</v>
      </c>
      <c r="B80" s="29" t="s">
        <v>349</v>
      </c>
      <c r="C80" s="29" t="s">
        <v>29</v>
      </c>
      <c r="D80" s="117" t="s">
        <v>211</v>
      </c>
      <c r="E80" s="93" t="s">
        <v>120</v>
      </c>
      <c r="F80" s="259" t="s">
        <v>428</v>
      </c>
      <c r="G80" s="38">
        <v>21</v>
      </c>
      <c r="H80" s="97" t="s">
        <v>121</v>
      </c>
      <c r="I80" s="37" t="s">
        <v>458</v>
      </c>
      <c r="J80" s="37" t="s">
        <v>458</v>
      </c>
      <c r="K80" s="37" t="s">
        <v>458</v>
      </c>
      <c r="L80" s="38" t="s">
        <v>458</v>
      </c>
      <c r="M80" s="38" t="s">
        <v>458</v>
      </c>
      <c r="N80" s="38" t="s">
        <v>458</v>
      </c>
      <c r="O80" s="38" t="s">
        <v>458</v>
      </c>
      <c r="P80" s="38" t="s">
        <v>458</v>
      </c>
      <c r="Q80" s="38" t="s">
        <v>458</v>
      </c>
      <c r="R80" s="102">
        <v>81</v>
      </c>
      <c r="S80" s="38">
        <v>8.1999999999999993</v>
      </c>
      <c r="T80" s="38">
        <v>21</v>
      </c>
      <c r="U80" s="147" t="s">
        <v>458</v>
      </c>
      <c r="V80" s="37" t="s">
        <v>458</v>
      </c>
      <c r="W80" s="37" t="s">
        <v>458</v>
      </c>
      <c r="X80" s="37" t="s">
        <v>458</v>
      </c>
      <c r="Y80" s="38" t="s">
        <v>458</v>
      </c>
      <c r="Z80" s="353" t="s">
        <v>309</v>
      </c>
      <c r="AA80" s="257" t="s">
        <v>437</v>
      </c>
      <c r="AB80" s="257" t="s">
        <v>457</v>
      </c>
      <c r="AC80" s="144" t="s">
        <v>458</v>
      </c>
    </row>
    <row r="81" spans="1:29" ht="16" x14ac:dyDescent="0.2">
      <c r="A81" s="21">
        <v>16</v>
      </c>
      <c r="B81" s="29" t="s">
        <v>350</v>
      </c>
      <c r="C81" s="29" t="s">
        <v>29</v>
      </c>
      <c r="D81" s="117" t="s">
        <v>211</v>
      </c>
      <c r="E81" s="93" t="s">
        <v>120</v>
      </c>
      <c r="F81" s="144" t="s">
        <v>434</v>
      </c>
      <c r="G81" s="38">
        <v>27</v>
      </c>
      <c r="H81" s="97" t="s">
        <v>121</v>
      </c>
      <c r="I81" s="37" t="s">
        <v>458</v>
      </c>
      <c r="J81" s="37" t="s">
        <v>458</v>
      </c>
      <c r="K81" s="37" t="s">
        <v>458</v>
      </c>
      <c r="L81" s="38">
        <v>27</v>
      </c>
      <c r="M81" s="38">
        <v>7.8</v>
      </c>
      <c r="N81" s="38" t="s">
        <v>458</v>
      </c>
      <c r="O81" s="38" t="s">
        <v>458</v>
      </c>
      <c r="P81" s="38" t="s">
        <v>458</v>
      </c>
      <c r="Q81" s="38" t="s">
        <v>458</v>
      </c>
      <c r="R81" s="38" t="s">
        <v>458</v>
      </c>
      <c r="S81" s="38" t="s">
        <v>458</v>
      </c>
      <c r="T81" s="38" t="s">
        <v>458</v>
      </c>
      <c r="U81" s="147" t="s">
        <v>458</v>
      </c>
      <c r="V81" s="37" t="s">
        <v>458</v>
      </c>
      <c r="W81" s="37" t="s">
        <v>458</v>
      </c>
      <c r="X81" s="37" t="s">
        <v>458</v>
      </c>
      <c r="Y81" s="38" t="s">
        <v>458</v>
      </c>
      <c r="Z81" s="155" t="s">
        <v>308</v>
      </c>
      <c r="AA81" s="257" t="s">
        <v>439</v>
      </c>
      <c r="AB81" s="257" t="s">
        <v>457</v>
      </c>
      <c r="AC81" s="144" t="s">
        <v>458</v>
      </c>
    </row>
    <row r="82" spans="1:29" ht="16" x14ac:dyDescent="0.2">
      <c r="A82" s="21">
        <v>16</v>
      </c>
      <c r="B82" s="29" t="s">
        <v>351</v>
      </c>
      <c r="C82" s="29" t="s">
        <v>29</v>
      </c>
      <c r="D82" s="156" t="s">
        <v>211</v>
      </c>
      <c r="E82" s="93" t="s">
        <v>120</v>
      </c>
      <c r="F82" s="264" t="s">
        <v>428</v>
      </c>
      <c r="G82" s="38">
        <v>58</v>
      </c>
      <c r="H82" s="97" t="s">
        <v>121</v>
      </c>
      <c r="I82" s="37" t="s">
        <v>458</v>
      </c>
      <c r="J82" s="37" t="s">
        <v>458</v>
      </c>
      <c r="K82" s="37" t="s">
        <v>458</v>
      </c>
      <c r="L82" s="38" t="s">
        <v>458</v>
      </c>
      <c r="M82" s="38" t="s">
        <v>458</v>
      </c>
      <c r="N82" s="38" t="s">
        <v>458</v>
      </c>
      <c r="O82" s="38" t="s">
        <v>458</v>
      </c>
      <c r="P82" s="38" t="s">
        <v>458</v>
      </c>
      <c r="Q82" s="38" t="s">
        <v>458</v>
      </c>
      <c r="R82" s="102">
        <v>50</v>
      </c>
      <c r="S82" s="38">
        <v>6.5</v>
      </c>
      <c r="T82" s="38">
        <v>58</v>
      </c>
      <c r="U82" s="147" t="s">
        <v>458</v>
      </c>
      <c r="V82" s="37" t="s">
        <v>458</v>
      </c>
      <c r="W82" s="37" t="s">
        <v>458</v>
      </c>
      <c r="X82" s="37" t="s">
        <v>458</v>
      </c>
      <c r="Y82" s="38">
        <v>26.6</v>
      </c>
      <c r="Z82" s="155" t="s">
        <v>307</v>
      </c>
      <c r="AA82" s="144" t="s">
        <v>300</v>
      </c>
      <c r="AB82" s="144" t="s">
        <v>457</v>
      </c>
      <c r="AC82" s="41" t="s">
        <v>306</v>
      </c>
    </row>
    <row r="83" spans="1:29" ht="16" x14ac:dyDescent="0.2">
      <c r="A83" s="21">
        <v>16</v>
      </c>
      <c r="B83" s="29" t="s">
        <v>352</v>
      </c>
      <c r="C83" s="29" t="s">
        <v>68</v>
      </c>
      <c r="D83" s="117" t="s">
        <v>211</v>
      </c>
      <c r="E83" s="93" t="s">
        <v>120</v>
      </c>
      <c r="F83" s="259" t="s">
        <v>428</v>
      </c>
      <c r="G83" s="38">
        <v>21</v>
      </c>
      <c r="H83" s="97" t="s">
        <v>121</v>
      </c>
      <c r="I83" s="37" t="s">
        <v>458</v>
      </c>
      <c r="J83" s="37" t="s">
        <v>458</v>
      </c>
      <c r="K83" s="37" t="s">
        <v>458</v>
      </c>
      <c r="L83" s="38" t="s">
        <v>458</v>
      </c>
      <c r="M83" s="38" t="s">
        <v>458</v>
      </c>
      <c r="N83" s="38" t="s">
        <v>458</v>
      </c>
      <c r="O83" s="38" t="s">
        <v>458</v>
      </c>
      <c r="P83" s="38" t="s">
        <v>458</v>
      </c>
      <c r="Q83" s="38" t="s">
        <v>458</v>
      </c>
      <c r="R83" s="102">
        <v>81</v>
      </c>
      <c r="S83" s="38">
        <v>8.1999999999999993</v>
      </c>
      <c r="T83" s="38">
        <v>21</v>
      </c>
      <c r="U83" s="147" t="s">
        <v>458</v>
      </c>
      <c r="V83" s="37" t="s">
        <v>458</v>
      </c>
      <c r="W83" s="37" t="s">
        <v>458</v>
      </c>
      <c r="X83" s="37" t="s">
        <v>458</v>
      </c>
      <c r="Y83" s="38" t="s">
        <v>458</v>
      </c>
      <c r="Z83" s="353" t="s">
        <v>309</v>
      </c>
      <c r="AA83" s="257" t="s">
        <v>437</v>
      </c>
      <c r="AB83" s="257" t="s">
        <v>457</v>
      </c>
      <c r="AC83" s="144" t="s">
        <v>458</v>
      </c>
    </row>
    <row r="84" spans="1:29" ht="16" x14ac:dyDescent="0.2">
      <c r="A84" s="21">
        <v>16</v>
      </c>
      <c r="B84" s="29" t="s">
        <v>353</v>
      </c>
      <c r="C84" s="29" t="s">
        <v>68</v>
      </c>
      <c r="D84" s="117" t="s">
        <v>211</v>
      </c>
      <c r="E84" s="93" t="s">
        <v>120</v>
      </c>
      <c r="F84" s="144" t="s">
        <v>434</v>
      </c>
      <c r="G84" s="38">
        <v>27</v>
      </c>
      <c r="H84" s="97" t="s">
        <v>121</v>
      </c>
      <c r="I84" s="37" t="s">
        <v>458</v>
      </c>
      <c r="J84" s="37" t="s">
        <v>458</v>
      </c>
      <c r="K84" s="37" t="s">
        <v>458</v>
      </c>
      <c r="L84" s="38">
        <v>27</v>
      </c>
      <c r="M84" s="38">
        <v>7.8</v>
      </c>
      <c r="N84" s="38" t="s">
        <v>458</v>
      </c>
      <c r="O84" s="38" t="s">
        <v>458</v>
      </c>
      <c r="P84" s="38" t="s">
        <v>458</v>
      </c>
      <c r="Q84" s="38" t="s">
        <v>458</v>
      </c>
      <c r="R84" s="38" t="s">
        <v>458</v>
      </c>
      <c r="S84" s="38" t="s">
        <v>458</v>
      </c>
      <c r="T84" s="38" t="s">
        <v>458</v>
      </c>
      <c r="U84" s="147" t="s">
        <v>458</v>
      </c>
      <c r="V84" s="37" t="s">
        <v>458</v>
      </c>
      <c r="W84" s="37" t="s">
        <v>458</v>
      </c>
      <c r="X84" s="37" t="s">
        <v>458</v>
      </c>
      <c r="Y84" s="38" t="s">
        <v>458</v>
      </c>
      <c r="Z84" s="155" t="s">
        <v>308</v>
      </c>
      <c r="AA84" s="9" t="s">
        <v>439</v>
      </c>
      <c r="AB84" s="9" t="s">
        <v>457</v>
      </c>
      <c r="AC84" s="144" t="s">
        <v>458</v>
      </c>
    </row>
    <row r="85" spans="1:29" ht="16" x14ac:dyDescent="0.2">
      <c r="A85" s="21">
        <v>16</v>
      </c>
      <c r="B85" s="29" t="s">
        <v>354</v>
      </c>
      <c r="C85" s="29" t="s">
        <v>68</v>
      </c>
      <c r="D85" s="156" t="s">
        <v>310</v>
      </c>
      <c r="E85" s="93" t="s">
        <v>120</v>
      </c>
      <c r="F85" s="257" t="s">
        <v>428</v>
      </c>
      <c r="G85" s="38">
        <v>58</v>
      </c>
      <c r="H85" s="97" t="s">
        <v>121</v>
      </c>
      <c r="I85" s="37" t="s">
        <v>458</v>
      </c>
      <c r="J85" s="37" t="s">
        <v>458</v>
      </c>
      <c r="K85" s="37" t="s">
        <v>458</v>
      </c>
      <c r="L85" s="38" t="s">
        <v>458</v>
      </c>
      <c r="M85" s="38" t="s">
        <v>458</v>
      </c>
      <c r="N85" s="38" t="s">
        <v>458</v>
      </c>
      <c r="O85" s="38" t="s">
        <v>458</v>
      </c>
      <c r="P85" s="38" t="s">
        <v>458</v>
      </c>
      <c r="Q85" s="38" t="s">
        <v>458</v>
      </c>
      <c r="R85" s="102">
        <v>50</v>
      </c>
      <c r="S85" s="38">
        <v>6.5</v>
      </c>
      <c r="T85" s="38">
        <v>58</v>
      </c>
      <c r="U85" s="147" t="s">
        <v>458</v>
      </c>
      <c r="V85" s="37" t="s">
        <v>458</v>
      </c>
      <c r="W85" s="37" t="s">
        <v>458</v>
      </c>
      <c r="X85" s="37" t="s">
        <v>458</v>
      </c>
      <c r="Y85" s="38">
        <v>26.6</v>
      </c>
      <c r="Z85" s="155" t="s">
        <v>307</v>
      </c>
      <c r="AA85" s="144" t="s">
        <v>300</v>
      </c>
      <c r="AB85" s="144" t="s">
        <v>457</v>
      </c>
      <c r="AC85" s="41" t="s">
        <v>306</v>
      </c>
    </row>
    <row r="86" spans="1:29" ht="16" x14ac:dyDescent="0.2">
      <c r="A86" s="21">
        <v>16</v>
      </c>
      <c r="B86" s="29" t="s">
        <v>355</v>
      </c>
      <c r="C86" s="29" t="s">
        <v>69</v>
      </c>
      <c r="D86" s="117" t="s">
        <v>211</v>
      </c>
      <c r="E86" s="93" t="s">
        <v>120</v>
      </c>
      <c r="F86" s="41" t="s">
        <v>428</v>
      </c>
      <c r="G86" s="38">
        <v>21</v>
      </c>
      <c r="H86" s="97" t="s">
        <v>121</v>
      </c>
      <c r="I86" s="37" t="s">
        <v>458</v>
      </c>
      <c r="J86" s="37" t="s">
        <v>458</v>
      </c>
      <c r="K86" s="37" t="s">
        <v>458</v>
      </c>
      <c r="L86" s="38" t="s">
        <v>458</v>
      </c>
      <c r="M86" s="38" t="s">
        <v>458</v>
      </c>
      <c r="N86" s="38" t="s">
        <v>458</v>
      </c>
      <c r="O86" s="38" t="s">
        <v>458</v>
      </c>
      <c r="P86" s="38" t="s">
        <v>458</v>
      </c>
      <c r="Q86" s="38" t="s">
        <v>458</v>
      </c>
      <c r="R86" s="102">
        <v>81</v>
      </c>
      <c r="S86" s="38">
        <v>8.1999999999999993</v>
      </c>
      <c r="T86" s="38">
        <v>21</v>
      </c>
      <c r="U86" s="147" t="s">
        <v>458</v>
      </c>
      <c r="V86" s="37" t="s">
        <v>458</v>
      </c>
      <c r="W86" s="37" t="s">
        <v>458</v>
      </c>
      <c r="X86" s="37" t="s">
        <v>458</v>
      </c>
      <c r="Y86" s="38" t="s">
        <v>458</v>
      </c>
      <c r="Z86" s="353" t="s">
        <v>309</v>
      </c>
      <c r="AA86" s="257" t="s">
        <v>437</v>
      </c>
      <c r="AB86" s="257" t="s">
        <v>457</v>
      </c>
      <c r="AC86" s="144" t="s">
        <v>458</v>
      </c>
    </row>
    <row r="87" spans="1:29" ht="16" x14ac:dyDescent="0.2">
      <c r="A87" s="21">
        <v>16</v>
      </c>
      <c r="B87" s="29" t="s">
        <v>356</v>
      </c>
      <c r="C87" s="29" t="s">
        <v>69</v>
      </c>
      <c r="D87" s="117" t="s">
        <v>211</v>
      </c>
      <c r="E87" s="93" t="s">
        <v>120</v>
      </c>
      <c r="F87" s="144" t="s">
        <v>434</v>
      </c>
      <c r="G87" s="38">
        <v>27</v>
      </c>
      <c r="H87" s="97" t="s">
        <v>121</v>
      </c>
      <c r="I87" s="37" t="s">
        <v>458</v>
      </c>
      <c r="J87" s="37" t="s">
        <v>458</v>
      </c>
      <c r="K87" s="37" t="s">
        <v>458</v>
      </c>
      <c r="L87" s="38">
        <v>27</v>
      </c>
      <c r="M87" s="38">
        <v>7.8</v>
      </c>
      <c r="N87" s="38" t="s">
        <v>458</v>
      </c>
      <c r="O87" s="38" t="s">
        <v>458</v>
      </c>
      <c r="P87" s="38" t="s">
        <v>458</v>
      </c>
      <c r="Q87" s="38" t="s">
        <v>458</v>
      </c>
      <c r="R87" s="38" t="s">
        <v>458</v>
      </c>
      <c r="S87" s="38" t="s">
        <v>458</v>
      </c>
      <c r="T87" s="38" t="s">
        <v>458</v>
      </c>
      <c r="U87" s="147" t="s">
        <v>458</v>
      </c>
      <c r="V87" s="37" t="s">
        <v>458</v>
      </c>
      <c r="W87" s="37" t="s">
        <v>458</v>
      </c>
      <c r="X87" s="37" t="s">
        <v>458</v>
      </c>
      <c r="Y87" s="38" t="s">
        <v>458</v>
      </c>
      <c r="Z87" s="155" t="s">
        <v>308</v>
      </c>
      <c r="AA87" s="9" t="s">
        <v>440</v>
      </c>
      <c r="AB87" s="9" t="s">
        <v>457</v>
      </c>
      <c r="AC87" s="144" t="s">
        <v>458</v>
      </c>
    </row>
    <row r="88" spans="1:29" ht="16" x14ac:dyDescent="0.2">
      <c r="A88" s="21">
        <v>16</v>
      </c>
      <c r="B88" s="29" t="s">
        <v>357</v>
      </c>
      <c r="C88" s="29" t="s">
        <v>69</v>
      </c>
      <c r="D88" s="156" t="s">
        <v>310</v>
      </c>
      <c r="E88" s="93" t="s">
        <v>120</v>
      </c>
      <c r="F88" s="257" t="s">
        <v>428</v>
      </c>
      <c r="G88" s="38">
        <v>58</v>
      </c>
      <c r="H88" s="97" t="s">
        <v>121</v>
      </c>
      <c r="I88" s="37" t="s">
        <v>458</v>
      </c>
      <c r="J88" s="37" t="s">
        <v>458</v>
      </c>
      <c r="K88" s="37" t="s">
        <v>458</v>
      </c>
      <c r="L88" s="38" t="s">
        <v>458</v>
      </c>
      <c r="M88" s="38" t="s">
        <v>458</v>
      </c>
      <c r="N88" s="38" t="s">
        <v>458</v>
      </c>
      <c r="O88" s="38" t="s">
        <v>458</v>
      </c>
      <c r="P88" s="38" t="s">
        <v>458</v>
      </c>
      <c r="Q88" s="38" t="s">
        <v>458</v>
      </c>
      <c r="R88" s="102">
        <v>50</v>
      </c>
      <c r="S88" s="38">
        <v>6.5</v>
      </c>
      <c r="T88" s="38">
        <v>58</v>
      </c>
      <c r="U88" s="147" t="s">
        <v>458</v>
      </c>
      <c r="V88" s="37" t="s">
        <v>458</v>
      </c>
      <c r="W88" s="37" t="s">
        <v>458</v>
      </c>
      <c r="X88" s="37" t="s">
        <v>458</v>
      </c>
      <c r="Y88" s="38">
        <v>26.6</v>
      </c>
      <c r="Z88" s="155" t="s">
        <v>307</v>
      </c>
      <c r="AA88" s="144" t="s">
        <v>300</v>
      </c>
      <c r="AB88" s="144" t="s">
        <v>457</v>
      </c>
      <c r="AC88" s="41" t="s">
        <v>306</v>
      </c>
    </row>
    <row r="89" spans="1:29" ht="16" x14ac:dyDescent="0.2">
      <c r="A89" s="21">
        <v>16</v>
      </c>
      <c r="B89" s="29" t="s">
        <v>358</v>
      </c>
      <c r="C89" s="29" t="s">
        <v>70</v>
      </c>
      <c r="D89" s="117" t="s">
        <v>211</v>
      </c>
      <c r="E89" s="93" t="s">
        <v>120</v>
      </c>
      <c r="F89" s="41" t="s">
        <v>428</v>
      </c>
      <c r="G89" s="38">
        <v>21</v>
      </c>
      <c r="H89" s="97" t="s">
        <v>121</v>
      </c>
      <c r="I89" s="37" t="s">
        <v>458</v>
      </c>
      <c r="J89" s="37" t="s">
        <v>458</v>
      </c>
      <c r="K89" s="37" t="s">
        <v>458</v>
      </c>
      <c r="L89" s="38" t="s">
        <v>458</v>
      </c>
      <c r="M89" s="38" t="s">
        <v>458</v>
      </c>
      <c r="N89" s="38" t="s">
        <v>458</v>
      </c>
      <c r="O89" s="38" t="s">
        <v>458</v>
      </c>
      <c r="P89" s="38" t="s">
        <v>458</v>
      </c>
      <c r="Q89" s="38" t="s">
        <v>458</v>
      </c>
      <c r="R89" s="102">
        <v>81</v>
      </c>
      <c r="S89" s="38">
        <v>8.1999999999999993</v>
      </c>
      <c r="T89" s="38">
        <v>21</v>
      </c>
      <c r="U89" s="147" t="s">
        <v>458</v>
      </c>
      <c r="V89" s="37" t="s">
        <v>458</v>
      </c>
      <c r="W89" s="37" t="s">
        <v>458</v>
      </c>
      <c r="X89" s="37" t="s">
        <v>458</v>
      </c>
      <c r="Y89" s="38" t="s">
        <v>458</v>
      </c>
      <c r="Z89" s="353" t="s">
        <v>309</v>
      </c>
      <c r="AA89" s="257" t="s">
        <v>437</v>
      </c>
      <c r="AB89" s="257" t="s">
        <v>457</v>
      </c>
      <c r="AC89" s="144" t="s">
        <v>458</v>
      </c>
    </row>
    <row r="90" spans="1:29" ht="16" x14ac:dyDescent="0.2">
      <c r="A90" s="21">
        <v>16</v>
      </c>
      <c r="B90" s="29" t="s">
        <v>359</v>
      </c>
      <c r="C90" s="29" t="s">
        <v>70</v>
      </c>
      <c r="D90" s="117" t="s">
        <v>211</v>
      </c>
      <c r="E90" s="93" t="s">
        <v>120</v>
      </c>
      <c r="F90" s="144" t="s">
        <v>434</v>
      </c>
      <c r="G90" s="38">
        <v>27</v>
      </c>
      <c r="H90" s="97" t="s">
        <v>121</v>
      </c>
      <c r="I90" s="37" t="s">
        <v>458</v>
      </c>
      <c r="J90" s="37" t="s">
        <v>458</v>
      </c>
      <c r="K90" s="37" t="s">
        <v>458</v>
      </c>
      <c r="L90" s="38">
        <v>27</v>
      </c>
      <c r="M90" s="38">
        <v>7.8</v>
      </c>
      <c r="N90" s="38" t="s">
        <v>458</v>
      </c>
      <c r="O90" s="38" t="s">
        <v>458</v>
      </c>
      <c r="P90" s="38" t="s">
        <v>458</v>
      </c>
      <c r="Q90" s="38" t="s">
        <v>458</v>
      </c>
      <c r="R90" s="38" t="s">
        <v>458</v>
      </c>
      <c r="S90" s="38" t="s">
        <v>458</v>
      </c>
      <c r="T90" s="38" t="s">
        <v>458</v>
      </c>
      <c r="U90" s="147" t="s">
        <v>458</v>
      </c>
      <c r="V90" s="37" t="s">
        <v>458</v>
      </c>
      <c r="W90" s="37" t="s">
        <v>458</v>
      </c>
      <c r="X90" s="37" t="s">
        <v>458</v>
      </c>
      <c r="Y90" s="38" t="s">
        <v>458</v>
      </c>
      <c r="Z90" s="155" t="s">
        <v>308</v>
      </c>
      <c r="AA90" s="9" t="s">
        <v>439</v>
      </c>
      <c r="AB90" s="9" t="s">
        <v>457</v>
      </c>
      <c r="AC90" s="144" t="s">
        <v>458</v>
      </c>
    </row>
    <row r="91" spans="1:29" s="17" customFormat="1" ht="16" x14ac:dyDescent="0.2">
      <c r="A91" s="23">
        <v>16</v>
      </c>
      <c r="B91" s="30" t="s">
        <v>360</v>
      </c>
      <c r="C91" s="30" t="s">
        <v>70</v>
      </c>
      <c r="D91" s="157" t="s">
        <v>211</v>
      </c>
      <c r="E91" s="106" t="s">
        <v>120</v>
      </c>
      <c r="F91" s="258" t="s">
        <v>428</v>
      </c>
      <c r="G91" s="94">
        <v>58</v>
      </c>
      <c r="H91" s="98" t="s">
        <v>121</v>
      </c>
      <c r="I91" s="36" t="s">
        <v>458</v>
      </c>
      <c r="J91" s="36" t="s">
        <v>458</v>
      </c>
      <c r="K91" s="36" t="s">
        <v>458</v>
      </c>
      <c r="L91" s="94" t="s">
        <v>458</v>
      </c>
      <c r="M91" s="94" t="s">
        <v>458</v>
      </c>
      <c r="N91" s="94" t="s">
        <v>458</v>
      </c>
      <c r="O91" s="94" t="s">
        <v>458</v>
      </c>
      <c r="P91" s="94" t="s">
        <v>458</v>
      </c>
      <c r="Q91" s="94" t="s">
        <v>458</v>
      </c>
      <c r="R91" s="103">
        <v>50</v>
      </c>
      <c r="S91" s="94">
        <v>6.5</v>
      </c>
      <c r="T91" s="94">
        <v>58</v>
      </c>
      <c r="U91" s="148" t="s">
        <v>458</v>
      </c>
      <c r="V91" s="36" t="s">
        <v>458</v>
      </c>
      <c r="W91" s="36" t="s">
        <v>458</v>
      </c>
      <c r="X91" s="36" t="s">
        <v>458</v>
      </c>
      <c r="Y91" s="94">
        <v>26.6</v>
      </c>
      <c r="Z91" s="249" t="s">
        <v>307</v>
      </c>
      <c r="AA91" s="145" t="s">
        <v>300</v>
      </c>
      <c r="AB91" s="145" t="s">
        <v>457</v>
      </c>
      <c r="AC91" s="43" t="s">
        <v>306</v>
      </c>
    </row>
    <row r="92" spans="1:29" ht="16" x14ac:dyDescent="0.2">
      <c r="A92" s="21">
        <v>18</v>
      </c>
      <c r="B92" s="29" t="s">
        <v>361</v>
      </c>
      <c r="C92" s="29" t="s">
        <v>50</v>
      </c>
      <c r="D92" s="117" t="s">
        <v>211</v>
      </c>
      <c r="E92" s="93" t="s">
        <v>120</v>
      </c>
      <c r="F92" s="259" t="s">
        <v>430</v>
      </c>
      <c r="G92" s="38">
        <v>29</v>
      </c>
      <c r="H92" s="97" t="s">
        <v>121</v>
      </c>
      <c r="I92" s="37">
        <v>29</v>
      </c>
      <c r="J92" s="37" t="s">
        <v>458</v>
      </c>
      <c r="K92" s="37">
        <v>29</v>
      </c>
      <c r="L92" s="37" t="s">
        <v>458</v>
      </c>
      <c r="M92" s="147" t="s">
        <v>315</v>
      </c>
      <c r="N92" s="38" t="s">
        <v>458</v>
      </c>
      <c r="O92" s="38" t="s">
        <v>458</v>
      </c>
      <c r="P92" s="38" t="s">
        <v>458</v>
      </c>
      <c r="Q92" s="38" t="s">
        <v>458</v>
      </c>
      <c r="R92" s="38" t="s">
        <v>458</v>
      </c>
      <c r="S92" s="38" t="s">
        <v>458</v>
      </c>
      <c r="T92" s="38" t="s">
        <v>458</v>
      </c>
      <c r="U92" s="147" t="s">
        <v>458</v>
      </c>
      <c r="V92" s="144" t="s">
        <v>458</v>
      </c>
      <c r="W92" s="144" t="s">
        <v>458</v>
      </c>
      <c r="X92" s="144" t="s">
        <v>458</v>
      </c>
      <c r="Y92" s="146" t="s">
        <v>458</v>
      </c>
      <c r="Z92" s="353" t="s">
        <v>319</v>
      </c>
      <c r="AA92" s="9" t="s">
        <v>145</v>
      </c>
      <c r="AB92" s="9" t="s">
        <v>459</v>
      </c>
      <c r="AC92" s="144" t="s">
        <v>458</v>
      </c>
    </row>
    <row r="93" spans="1:29" ht="16" x14ac:dyDescent="0.2">
      <c r="A93" s="21">
        <v>18</v>
      </c>
      <c r="B93" s="29" t="s">
        <v>362</v>
      </c>
      <c r="C93" s="29" t="s">
        <v>71</v>
      </c>
      <c r="D93" s="117" t="s">
        <v>211</v>
      </c>
      <c r="E93" s="93" t="s">
        <v>120</v>
      </c>
      <c r="F93" s="259" t="s">
        <v>430</v>
      </c>
      <c r="G93" s="38">
        <v>29</v>
      </c>
      <c r="H93" s="97" t="s">
        <v>121</v>
      </c>
      <c r="I93" s="37">
        <v>29</v>
      </c>
      <c r="J93" s="37" t="s">
        <v>458</v>
      </c>
      <c r="K93" s="37">
        <v>29</v>
      </c>
      <c r="L93" s="37" t="s">
        <v>458</v>
      </c>
      <c r="M93" s="147" t="s">
        <v>315</v>
      </c>
      <c r="N93" s="38" t="s">
        <v>458</v>
      </c>
      <c r="O93" s="38" t="s">
        <v>458</v>
      </c>
      <c r="P93" s="38" t="s">
        <v>458</v>
      </c>
      <c r="Q93" s="38" t="s">
        <v>458</v>
      </c>
      <c r="R93" s="38" t="s">
        <v>458</v>
      </c>
      <c r="S93" s="38" t="s">
        <v>458</v>
      </c>
      <c r="T93" s="38" t="s">
        <v>458</v>
      </c>
      <c r="U93" s="147" t="s">
        <v>458</v>
      </c>
      <c r="V93" s="144" t="s">
        <v>458</v>
      </c>
      <c r="W93" s="144" t="s">
        <v>458</v>
      </c>
      <c r="X93" s="144" t="s">
        <v>458</v>
      </c>
      <c r="Y93" s="146" t="s">
        <v>458</v>
      </c>
      <c r="Z93" s="353" t="s">
        <v>319</v>
      </c>
      <c r="AA93" s="9" t="s">
        <v>145</v>
      </c>
      <c r="AB93" s="9" t="s">
        <v>459</v>
      </c>
      <c r="AC93" s="144" t="s">
        <v>458</v>
      </c>
    </row>
    <row r="94" spans="1:29" ht="16" x14ac:dyDescent="0.2">
      <c r="A94" s="21">
        <v>18</v>
      </c>
      <c r="B94" s="29" t="s">
        <v>363</v>
      </c>
      <c r="C94" s="29" t="s">
        <v>72</v>
      </c>
      <c r="D94" s="117" t="s">
        <v>211</v>
      </c>
      <c r="E94" s="93" t="s">
        <v>120</v>
      </c>
      <c r="F94" s="259" t="s">
        <v>430</v>
      </c>
      <c r="G94" s="38">
        <v>29</v>
      </c>
      <c r="H94" s="97" t="s">
        <v>121</v>
      </c>
      <c r="I94" s="37">
        <v>29</v>
      </c>
      <c r="J94" s="37" t="s">
        <v>458</v>
      </c>
      <c r="K94" s="37">
        <v>29</v>
      </c>
      <c r="L94" s="37" t="s">
        <v>458</v>
      </c>
      <c r="M94" s="147" t="s">
        <v>315</v>
      </c>
      <c r="N94" s="38" t="s">
        <v>458</v>
      </c>
      <c r="O94" s="38" t="s">
        <v>458</v>
      </c>
      <c r="P94" s="38" t="s">
        <v>458</v>
      </c>
      <c r="Q94" s="38" t="s">
        <v>458</v>
      </c>
      <c r="R94" s="38" t="s">
        <v>458</v>
      </c>
      <c r="S94" s="38" t="s">
        <v>458</v>
      </c>
      <c r="T94" s="38" t="s">
        <v>458</v>
      </c>
      <c r="U94" s="147" t="s">
        <v>458</v>
      </c>
      <c r="V94" s="144" t="s">
        <v>458</v>
      </c>
      <c r="W94" s="144" t="s">
        <v>458</v>
      </c>
      <c r="X94" s="144" t="s">
        <v>458</v>
      </c>
      <c r="Y94" s="146" t="s">
        <v>458</v>
      </c>
      <c r="Z94" s="353" t="s">
        <v>319</v>
      </c>
      <c r="AA94" s="9" t="s">
        <v>145</v>
      </c>
      <c r="AB94" s="9" t="s">
        <v>459</v>
      </c>
      <c r="AC94" s="144" t="s">
        <v>458</v>
      </c>
    </row>
    <row r="95" spans="1:29" ht="16" x14ac:dyDescent="0.2">
      <c r="A95" s="21">
        <v>18</v>
      </c>
      <c r="B95" s="29" t="s">
        <v>364</v>
      </c>
      <c r="C95" s="29" t="s">
        <v>73</v>
      </c>
      <c r="D95" s="117" t="s">
        <v>211</v>
      </c>
      <c r="E95" s="93" t="s">
        <v>120</v>
      </c>
      <c r="F95" s="259" t="s">
        <v>430</v>
      </c>
      <c r="G95" s="38">
        <v>29</v>
      </c>
      <c r="H95" s="97" t="s">
        <v>121</v>
      </c>
      <c r="I95" s="37">
        <v>29</v>
      </c>
      <c r="J95" s="37" t="s">
        <v>458</v>
      </c>
      <c r="K95" s="37">
        <v>29</v>
      </c>
      <c r="L95" s="37" t="s">
        <v>458</v>
      </c>
      <c r="M95" s="147" t="s">
        <v>315</v>
      </c>
      <c r="N95" s="38" t="s">
        <v>458</v>
      </c>
      <c r="O95" s="38" t="s">
        <v>458</v>
      </c>
      <c r="P95" s="38" t="s">
        <v>458</v>
      </c>
      <c r="Q95" s="38" t="s">
        <v>458</v>
      </c>
      <c r="R95" s="38" t="s">
        <v>458</v>
      </c>
      <c r="S95" s="38" t="s">
        <v>458</v>
      </c>
      <c r="T95" s="38" t="s">
        <v>458</v>
      </c>
      <c r="U95" s="147" t="s">
        <v>458</v>
      </c>
      <c r="V95" s="144" t="s">
        <v>458</v>
      </c>
      <c r="W95" s="144" t="s">
        <v>458</v>
      </c>
      <c r="X95" s="144" t="s">
        <v>458</v>
      </c>
      <c r="Y95" s="146" t="s">
        <v>458</v>
      </c>
      <c r="Z95" s="353" t="s">
        <v>319</v>
      </c>
      <c r="AA95" s="9" t="s">
        <v>145</v>
      </c>
      <c r="AB95" s="9" t="s">
        <v>459</v>
      </c>
      <c r="AC95" s="144" t="s">
        <v>458</v>
      </c>
    </row>
    <row r="96" spans="1:29" ht="16" x14ac:dyDescent="0.2">
      <c r="A96" s="21">
        <v>18</v>
      </c>
      <c r="B96" s="29" t="s">
        <v>349</v>
      </c>
      <c r="C96" s="29" t="s">
        <v>74</v>
      </c>
      <c r="D96" s="117" t="s">
        <v>211</v>
      </c>
      <c r="E96" s="93" t="s">
        <v>120</v>
      </c>
      <c r="F96" s="259" t="s">
        <v>430</v>
      </c>
      <c r="G96" s="38">
        <v>29</v>
      </c>
      <c r="H96" s="97" t="s">
        <v>121</v>
      </c>
      <c r="I96" s="37">
        <v>29</v>
      </c>
      <c r="J96" s="37" t="s">
        <v>458</v>
      </c>
      <c r="K96" s="37">
        <v>29</v>
      </c>
      <c r="L96" s="37" t="s">
        <v>458</v>
      </c>
      <c r="M96" s="147" t="s">
        <v>315</v>
      </c>
      <c r="N96" s="38" t="s">
        <v>458</v>
      </c>
      <c r="O96" s="38" t="s">
        <v>458</v>
      </c>
      <c r="P96" s="38" t="s">
        <v>458</v>
      </c>
      <c r="Q96" s="38" t="s">
        <v>458</v>
      </c>
      <c r="R96" s="38" t="s">
        <v>458</v>
      </c>
      <c r="S96" s="38" t="s">
        <v>458</v>
      </c>
      <c r="T96" s="38" t="s">
        <v>458</v>
      </c>
      <c r="U96" s="147" t="s">
        <v>458</v>
      </c>
      <c r="V96" s="144" t="s">
        <v>458</v>
      </c>
      <c r="W96" s="144" t="s">
        <v>458</v>
      </c>
      <c r="X96" s="144" t="s">
        <v>458</v>
      </c>
      <c r="Y96" s="146" t="s">
        <v>458</v>
      </c>
      <c r="Z96" s="353" t="s">
        <v>319</v>
      </c>
      <c r="AA96" s="9" t="s">
        <v>145</v>
      </c>
      <c r="AB96" s="9" t="s">
        <v>459</v>
      </c>
      <c r="AC96" s="144" t="s">
        <v>458</v>
      </c>
    </row>
    <row r="97" spans="1:29" ht="16" x14ac:dyDescent="0.2">
      <c r="A97" s="21">
        <v>18</v>
      </c>
      <c r="B97" s="29" t="s">
        <v>365</v>
      </c>
      <c r="C97" s="29" t="s">
        <v>50</v>
      </c>
      <c r="D97" s="117" t="s">
        <v>211</v>
      </c>
      <c r="E97" s="93" t="s">
        <v>120</v>
      </c>
      <c r="F97" s="259" t="s">
        <v>430</v>
      </c>
      <c r="G97" s="38">
        <v>29</v>
      </c>
      <c r="H97" s="97" t="s">
        <v>121</v>
      </c>
      <c r="I97" s="37">
        <v>29</v>
      </c>
      <c r="J97" s="37" t="s">
        <v>458</v>
      </c>
      <c r="K97" s="37">
        <v>29</v>
      </c>
      <c r="L97" s="37" t="s">
        <v>458</v>
      </c>
      <c r="M97" s="147" t="s">
        <v>316</v>
      </c>
      <c r="N97" s="38" t="s">
        <v>458</v>
      </c>
      <c r="O97" s="38" t="s">
        <v>458</v>
      </c>
      <c r="P97" s="38" t="s">
        <v>458</v>
      </c>
      <c r="Q97" s="38" t="s">
        <v>458</v>
      </c>
      <c r="R97" s="38" t="s">
        <v>458</v>
      </c>
      <c r="S97" s="38" t="s">
        <v>458</v>
      </c>
      <c r="T97" s="38" t="s">
        <v>458</v>
      </c>
      <c r="U97" s="147" t="s">
        <v>458</v>
      </c>
      <c r="V97" s="144" t="s">
        <v>458</v>
      </c>
      <c r="W97" s="144" t="s">
        <v>458</v>
      </c>
      <c r="X97" s="144" t="s">
        <v>458</v>
      </c>
      <c r="Y97" s="146" t="s">
        <v>458</v>
      </c>
      <c r="Z97" s="353" t="s">
        <v>319</v>
      </c>
      <c r="AA97" s="9" t="s">
        <v>145</v>
      </c>
      <c r="AB97" s="9" t="s">
        <v>459</v>
      </c>
      <c r="AC97" s="144" t="s">
        <v>458</v>
      </c>
    </row>
    <row r="98" spans="1:29" ht="16" x14ac:dyDescent="0.2">
      <c r="A98" s="21">
        <v>18</v>
      </c>
      <c r="B98" s="29" t="s">
        <v>366</v>
      </c>
      <c r="C98" s="29" t="s">
        <v>71</v>
      </c>
      <c r="D98" s="117" t="s">
        <v>211</v>
      </c>
      <c r="E98" s="93" t="s">
        <v>120</v>
      </c>
      <c r="F98" s="259" t="s">
        <v>430</v>
      </c>
      <c r="G98" s="38">
        <v>29</v>
      </c>
      <c r="H98" s="97" t="s">
        <v>121</v>
      </c>
      <c r="I98" s="37">
        <v>29</v>
      </c>
      <c r="J98" s="37" t="s">
        <v>458</v>
      </c>
      <c r="K98" s="37">
        <v>29</v>
      </c>
      <c r="L98" s="37" t="s">
        <v>458</v>
      </c>
      <c r="M98" s="147" t="s">
        <v>316</v>
      </c>
      <c r="N98" s="38" t="s">
        <v>458</v>
      </c>
      <c r="O98" s="38" t="s">
        <v>458</v>
      </c>
      <c r="P98" s="38" t="s">
        <v>458</v>
      </c>
      <c r="Q98" s="38" t="s">
        <v>458</v>
      </c>
      <c r="R98" s="38" t="s">
        <v>458</v>
      </c>
      <c r="S98" s="38" t="s">
        <v>458</v>
      </c>
      <c r="T98" s="38" t="s">
        <v>458</v>
      </c>
      <c r="U98" s="147" t="s">
        <v>458</v>
      </c>
      <c r="V98" s="144" t="s">
        <v>458</v>
      </c>
      <c r="W98" s="144" t="s">
        <v>458</v>
      </c>
      <c r="X98" s="144" t="s">
        <v>458</v>
      </c>
      <c r="Y98" s="146" t="s">
        <v>458</v>
      </c>
      <c r="Z98" s="353" t="s">
        <v>319</v>
      </c>
      <c r="AA98" s="9" t="s">
        <v>145</v>
      </c>
      <c r="AB98" s="9" t="s">
        <v>459</v>
      </c>
      <c r="AC98" s="144" t="s">
        <v>458</v>
      </c>
    </row>
    <row r="99" spans="1:29" ht="16" x14ac:dyDescent="0.2">
      <c r="A99" s="21">
        <v>18</v>
      </c>
      <c r="B99" s="29" t="s">
        <v>367</v>
      </c>
      <c r="C99" s="29" t="s">
        <v>72</v>
      </c>
      <c r="D99" s="117" t="s">
        <v>211</v>
      </c>
      <c r="E99" s="93" t="s">
        <v>120</v>
      </c>
      <c r="F99" s="259" t="s">
        <v>430</v>
      </c>
      <c r="G99" s="38">
        <v>29</v>
      </c>
      <c r="H99" s="97" t="s">
        <v>121</v>
      </c>
      <c r="I99" s="37">
        <v>29</v>
      </c>
      <c r="J99" s="37" t="s">
        <v>458</v>
      </c>
      <c r="K99" s="37">
        <v>29</v>
      </c>
      <c r="L99" s="37" t="s">
        <v>458</v>
      </c>
      <c r="M99" s="147" t="s">
        <v>316</v>
      </c>
      <c r="N99" s="38" t="s">
        <v>458</v>
      </c>
      <c r="O99" s="38" t="s">
        <v>458</v>
      </c>
      <c r="P99" s="38" t="s">
        <v>458</v>
      </c>
      <c r="Q99" s="38" t="s">
        <v>458</v>
      </c>
      <c r="R99" s="38" t="s">
        <v>458</v>
      </c>
      <c r="S99" s="38" t="s">
        <v>458</v>
      </c>
      <c r="T99" s="38" t="s">
        <v>458</v>
      </c>
      <c r="U99" s="147" t="s">
        <v>458</v>
      </c>
      <c r="V99" s="144" t="s">
        <v>458</v>
      </c>
      <c r="W99" s="144" t="s">
        <v>458</v>
      </c>
      <c r="X99" s="144" t="s">
        <v>458</v>
      </c>
      <c r="Y99" s="146" t="s">
        <v>458</v>
      </c>
      <c r="Z99" s="353" t="s">
        <v>319</v>
      </c>
      <c r="AA99" s="9" t="s">
        <v>145</v>
      </c>
      <c r="AB99" s="9" t="s">
        <v>459</v>
      </c>
      <c r="AC99" s="144" t="s">
        <v>458</v>
      </c>
    </row>
    <row r="100" spans="1:29" ht="16" x14ac:dyDescent="0.2">
      <c r="A100" s="21">
        <v>18</v>
      </c>
      <c r="B100" s="29" t="s">
        <v>368</v>
      </c>
      <c r="C100" s="29" t="s">
        <v>73</v>
      </c>
      <c r="D100" s="117" t="s">
        <v>211</v>
      </c>
      <c r="E100" s="93" t="s">
        <v>120</v>
      </c>
      <c r="F100" s="259" t="s">
        <v>430</v>
      </c>
      <c r="G100" s="38">
        <v>29</v>
      </c>
      <c r="H100" s="97" t="s">
        <v>121</v>
      </c>
      <c r="I100" s="37">
        <v>29</v>
      </c>
      <c r="J100" s="37" t="s">
        <v>458</v>
      </c>
      <c r="K100" s="37">
        <v>29</v>
      </c>
      <c r="L100" s="37" t="s">
        <v>458</v>
      </c>
      <c r="M100" s="147" t="s">
        <v>316</v>
      </c>
      <c r="N100" s="38" t="s">
        <v>458</v>
      </c>
      <c r="O100" s="38" t="s">
        <v>458</v>
      </c>
      <c r="P100" s="38" t="s">
        <v>458</v>
      </c>
      <c r="Q100" s="38" t="s">
        <v>458</v>
      </c>
      <c r="R100" s="38" t="s">
        <v>458</v>
      </c>
      <c r="S100" s="38" t="s">
        <v>458</v>
      </c>
      <c r="T100" s="38" t="s">
        <v>458</v>
      </c>
      <c r="U100" s="147" t="s">
        <v>458</v>
      </c>
      <c r="V100" s="144" t="s">
        <v>458</v>
      </c>
      <c r="W100" s="144" t="s">
        <v>458</v>
      </c>
      <c r="X100" s="144" t="s">
        <v>458</v>
      </c>
      <c r="Y100" s="146" t="s">
        <v>458</v>
      </c>
      <c r="Z100" s="353" t="s">
        <v>319</v>
      </c>
      <c r="AA100" s="9" t="s">
        <v>145</v>
      </c>
      <c r="AB100" s="9" t="s">
        <v>459</v>
      </c>
      <c r="AC100" s="144" t="s">
        <v>458</v>
      </c>
    </row>
    <row r="101" spans="1:29" ht="16" x14ac:dyDescent="0.2">
      <c r="A101" s="21">
        <v>18</v>
      </c>
      <c r="B101" s="29" t="s">
        <v>350</v>
      </c>
      <c r="C101" s="29" t="s">
        <v>74</v>
      </c>
      <c r="D101" s="117" t="s">
        <v>211</v>
      </c>
      <c r="E101" s="93" t="s">
        <v>120</v>
      </c>
      <c r="F101" s="259" t="s">
        <v>430</v>
      </c>
      <c r="G101" s="38">
        <v>29</v>
      </c>
      <c r="H101" s="97" t="s">
        <v>121</v>
      </c>
      <c r="I101" s="37">
        <v>29</v>
      </c>
      <c r="J101" s="37" t="s">
        <v>458</v>
      </c>
      <c r="K101" s="37">
        <v>26</v>
      </c>
      <c r="L101" s="37" t="s">
        <v>458</v>
      </c>
      <c r="M101" s="147" t="s">
        <v>316</v>
      </c>
      <c r="N101" s="38" t="s">
        <v>458</v>
      </c>
      <c r="O101" s="38" t="s">
        <v>458</v>
      </c>
      <c r="P101" s="38" t="s">
        <v>458</v>
      </c>
      <c r="Q101" s="38" t="s">
        <v>458</v>
      </c>
      <c r="R101" s="38" t="s">
        <v>458</v>
      </c>
      <c r="S101" s="38" t="s">
        <v>458</v>
      </c>
      <c r="T101" s="38" t="s">
        <v>458</v>
      </c>
      <c r="U101" s="147" t="s">
        <v>458</v>
      </c>
      <c r="V101" s="144" t="s">
        <v>458</v>
      </c>
      <c r="W101" s="144" t="s">
        <v>458</v>
      </c>
      <c r="X101" s="144" t="s">
        <v>458</v>
      </c>
      <c r="Y101" s="146" t="s">
        <v>458</v>
      </c>
      <c r="Z101" s="353" t="s">
        <v>319</v>
      </c>
      <c r="AA101" s="9" t="s">
        <v>145</v>
      </c>
      <c r="AB101" s="9" t="s">
        <v>459</v>
      </c>
      <c r="AC101" s="144" t="s">
        <v>458</v>
      </c>
    </row>
    <row r="102" spans="1:29" ht="16" x14ac:dyDescent="0.2">
      <c r="A102" s="21">
        <v>18</v>
      </c>
      <c r="B102" s="29" t="s">
        <v>369</v>
      </c>
      <c r="C102" s="29" t="s">
        <v>50</v>
      </c>
      <c r="D102" s="117" t="s">
        <v>211</v>
      </c>
      <c r="E102" s="93" t="s">
        <v>120</v>
      </c>
      <c r="F102" s="259" t="s">
        <v>430</v>
      </c>
      <c r="G102" s="38">
        <v>27</v>
      </c>
      <c r="H102" s="97" t="s">
        <v>121</v>
      </c>
      <c r="I102" s="38">
        <v>27</v>
      </c>
      <c r="J102" s="37" t="s">
        <v>458</v>
      </c>
      <c r="K102" s="38">
        <v>27</v>
      </c>
      <c r="L102" s="37" t="s">
        <v>458</v>
      </c>
      <c r="M102" s="147" t="s">
        <v>317</v>
      </c>
      <c r="N102" s="38" t="s">
        <v>458</v>
      </c>
      <c r="O102" s="38" t="s">
        <v>458</v>
      </c>
      <c r="P102" s="38" t="s">
        <v>458</v>
      </c>
      <c r="Q102" s="38" t="s">
        <v>458</v>
      </c>
      <c r="R102" s="38" t="s">
        <v>458</v>
      </c>
      <c r="S102" s="38" t="s">
        <v>458</v>
      </c>
      <c r="T102" s="38" t="s">
        <v>458</v>
      </c>
      <c r="U102" s="147" t="s">
        <v>458</v>
      </c>
      <c r="V102" s="144" t="s">
        <v>458</v>
      </c>
      <c r="W102" s="144" t="s">
        <v>458</v>
      </c>
      <c r="X102" s="144" t="s">
        <v>458</v>
      </c>
      <c r="Y102" s="146" t="s">
        <v>458</v>
      </c>
      <c r="Z102" s="353" t="s">
        <v>319</v>
      </c>
      <c r="AA102" s="9" t="s">
        <v>145</v>
      </c>
      <c r="AB102" s="9" t="s">
        <v>459</v>
      </c>
      <c r="AC102" s="144" t="s">
        <v>458</v>
      </c>
    </row>
    <row r="103" spans="1:29" ht="16" x14ac:dyDescent="0.2">
      <c r="A103" s="21">
        <v>18</v>
      </c>
      <c r="B103" s="29" t="s">
        <v>370</v>
      </c>
      <c r="C103" s="29" t="s">
        <v>71</v>
      </c>
      <c r="D103" s="117" t="s">
        <v>211</v>
      </c>
      <c r="E103" s="93" t="s">
        <v>120</v>
      </c>
      <c r="F103" s="259" t="s">
        <v>430</v>
      </c>
      <c r="G103" s="38">
        <v>27</v>
      </c>
      <c r="H103" s="97" t="s">
        <v>121</v>
      </c>
      <c r="I103" s="38">
        <v>27</v>
      </c>
      <c r="J103" s="37" t="s">
        <v>458</v>
      </c>
      <c r="K103" s="38">
        <v>27</v>
      </c>
      <c r="L103" s="37" t="s">
        <v>458</v>
      </c>
      <c r="M103" s="147" t="s">
        <v>317</v>
      </c>
      <c r="N103" s="38" t="s">
        <v>458</v>
      </c>
      <c r="O103" s="38" t="s">
        <v>458</v>
      </c>
      <c r="P103" s="38" t="s">
        <v>458</v>
      </c>
      <c r="Q103" s="38" t="s">
        <v>458</v>
      </c>
      <c r="R103" s="38" t="s">
        <v>458</v>
      </c>
      <c r="S103" s="38" t="s">
        <v>458</v>
      </c>
      <c r="T103" s="38" t="s">
        <v>458</v>
      </c>
      <c r="U103" s="147" t="s">
        <v>458</v>
      </c>
      <c r="V103" s="144" t="s">
        <v>458</v>
      </c>
      <c r="W103" s="144" t="s">
        <v>458</v>
      </c>
      <c r="X103" s="144" t="s">
        <v>458</v>
      </c>
      <c r="Y103" s="146" t="s">
        <v>458</v>
      </c>
      <c r="Z103" s="353" t="s">
        <v>319</v>
      </c>
      <c r="AA103" s="9" t="s">
        <v>145</v>
      </c>
      <c r="AB103" s="9" t="s">
        <v>459</v>
      </c>
      <c r="AC103" s="144" t="s">
        <v>458</v>
      </c>
    </row>
    <row r="104" spans="1:29" ht="16" x14ac:dyDescent="0.2">
      <c r="A104" s="21">
        <v>18</v>
      </c>
      <c r="B104" s="29" t="s">
        <v>371</v>
      </c>
      <c r="C104" s="29" t="s">
        <v>72</v>
      </c>
      <c r="D104" s="117" t="s">
        <v>211</v>
      </c>
      <c r="E104" s="93" t="s">
        <v>120</v>
      </c>
      <c r="F104" s="259" t="s">
        <v>430</v>
      </c>
      <c r="G104" s="38">
        <v>27</v>
      </c>
      <c r="H104" s="97" t="s">
        <v>121</v>
      </c>
      <c r="I104" s="38">
        <v>27</v>
      </c>
      <c r="J104" s="37" t="s">
        <v>458</v>
      </c>
      <c r="K104" s="38">
        <v>27</v>
      </c>
      <c r="L104" s="37" t="s">
        <v>458</v>
      </c>
      <c r="M104" s="147" t="s">
        <v>317</v>
      </c>
      <c r="N104" s="38" t="s">
        <v>458</v>
      </c>
      <c r="O104" s="38" t="s">
        <v>458</v>
      </c>
      <c r="P104" s="38" t="s">
        <v>458</v>
      </c>
      <c r="Q104" s="38" t="s">
        <v>458</v>
      </c>
      <c r="R104" s="38" t="s">
        <v>458</v>
      </c>
      <c r="S104" s="38" t="s">
        <v>458</v>
      </c>
      <c r="T104" s="38" t="s">
        <v>458</v>
      </c>
      <c r="U104" s="147" t="s">
        <v>458</v>
      </c>
      <c r="V104" s="144" t="s">
        <v>458</v>
      </c>
      <c r="W104" s="144" t="s">
        <v>458</v>
      </c>
      <c r="X104" s="144" t="s">
        <v>458</v>
      </c>
      <c r="Y104" s="146" t="s">
        <v>458</v>
      </c>
      <c r="Z104" s="353" t="s">
        <v>319</v>
      </c>
      <c r="AA104" s="9" t="s">
        <v>145</v>
      </c>
      <c r="AB104" s="9" t="s">
        <v>459</v>
      </c>
      <c r="AC104" s="144" t="s">
        <v>458</v>
      </c>
    </row>
    <row r="105" spans="1:29" ht="16" x14ac:dyDescent="0.2">
      <c r="A105" s="21">
        <v>18</v>
      </c>
      <c r="B105" s="29" t="s">
        <v>372</v>
      </c>
      <c r="C105" s="29" t="s">
        <v>73</v>
      </c>
      <c r="D105" s="117" t="s">
        <v>211</v>
      </c>
      <c r="E105" s="93" t="s">
        <v>120</v>
      </c>
      <c r="F105" s="259" t="s">
        <v>430</v>
      </c>
      <c r="G105" s="38">
        <v>27</v>
      </c>
      <c r="H105" s="97" t="s">
        <v>121</v>
      </c>
      <c r="I105" s="38">
        <v>27</v>
      </c>
      <c r="J105" s="37" t="s">
        <v>458</v>
      </c>
      <c r="K105" s="38">
        <v>27</v>
      </c>
      <c r="L105" s="37" t="s">
        <v>458</v>
      </c>
      <c r="M105" s="147" t="s">
        <v>317</v>
      </c>
      <c r="N105" s="38" t="s">
        <v>458</v>
      </c>
      <c r="O105" s="38" t="s">
        <v>458</v>
      </c>
      <c r="P105" s="38" t="s">
        <v>458</v>
      </c>
      <c r="Q105" s="38" t="s">
        <v>458</v>
      </c>
      <c r="R105" s="38" t="s">
        <v>458</v>
      </c>
      <c r="S105" s="38" t="s">
        <v>458</v>
      </c>
      <c r="T105" s="38" t="s">
        <v>458</v>
      </c>
      <c r="U105" s="147" t="s">
        <v>458</v>
      </c>
      <c r="V105" s="144" t="s">
        <v>458</v>
      </c>
      <c r="W105" s="144" t="s">
        <v>458</v>
      </c>
      <c r="X105" s="144" t="s">
        <v>458</v>
      </c>
      <c r="Y105" s="146" t="s">
        <v>458</v>
      </c>
      <c r="Z105" s="353" t="s">
        <v>319</v>
      </c>
      <c r="AA105" s="9" t="s">
        <v>145</v>
      </c>
      <c r="AB105" s="9" t="s">
        <v>459</v>
      </c>
      <c r="AC105" s="144" t="s">
        <v>458</v>
      </c>
    </row>
    <row r="106" spans="1:29" ht="16" x14ac:dyDescent="0.2">
      <c r="A106" s="21">
        <v>18</v>
      </c>
      <c r="B106" s="29" t="s">
        <v>351</v>
      </c>
      <c r="C106" s="29" t="s">
        <v>74</v>
      </c>
      <c r="D106" s="117" t="s">
        <v>211</v>
      </c>
      <c r="E106" s="93" t="s">
        <v>120</v>
      </c>
      <c r="F106" s="259" t="s">
        <v>430</v>
      </c>
      <c r="G106" s="38">
        <v>27</v>
      </c>
      <c r="H106" s="97" t="s">
        <v>121</v>
      </c>
      <c r="I106" s="38">
        <v>27</v>
      </c>
      <c r="J106" s="37" t="s">
        <v>458</v>
      </c>
      <c r="K106" s="38">
        <v>27</v>
      </c>
      <c r="L106" s="37" t="s">
        <v>458</v>
      </c>
      <c r="M106" s="147" t="s">
        <v>317</v>
      </c>
      <c r="N106" s="38" t="s">
        <v>458</v>
      </c>
      <c r="O106" s="38" t="s">
        <v>458</v>
      </c>
      <c r="P106" s="38" t="s">
        <v>458</v>
      </c>
      <c r="Q106" s="38" t="s">
        <v>458</v>
      </c>
      <c r="R106" s="38" t="s">
        <v>458</v>
      </c>
      <c r="S106" s="38" t="s">
        <v>458</v>
      </c>
      <c r="T106" s="38" t="s">
        <v>458</v>
      </c>
      <c r="U106" s="147" t="s">
        <v>458</v>
      </c>
      <c r="V106" s="144" t="s">
        <v>458</v>
      </c>
      <c r="W106" s="144" t="s">
        <v>458</v>
      </c>
      <c r="X106" s="144" t="s">
        <v>458</v>
      </c>
      <c r="Y106" s="146" t="s">
        <v>458</v>
      </c>
      <c r="Z106" s="353" t="s">
        <v>319</v>
      </c>
      <c r="AA106" s="9" t="s">
        <v>145</v>
      </c>
      <c r="AB106" s="9" t="s">
        <v>459</v>
      </c>
      <c r="AC106" s="144" t="s">
        <v>458</v>
      </c>
    </row>
    <row r="107" spans="1:29" ht="16" x14ac:dyDescent="0.2">
      <c r="A107" s="21">
        <v>18</v>
      </c>
      <c r="B107" s="29" t="s">
        <v>373</v>
      </c>
      <c r="C107" s="29" t="s">
        <v>50</v>
      </c>
      <c r="D107" s="117" t="s">
        <v>211</v>
      </c>
      <c r="E107" s="93" t="s">
        <v>120</v>
      </c>
      <c r="F107" s="259" t="s">
        <v>430</v>
      </c>
      <c r="G107" s="147">
        <v>26</v>
      </c>
      <c r="H107" s="97" t="s">
        <v>121</v>
      </c>
      <c r="I107" s="37">
        <v>26</v>
      </c>
      <c r="J107" s="37" t="s">
        <v>458</v>
      </c>
      <c r="K107" s="37">
        <v>26</v>
      </c>
      <c r="L107" s="37" t="s">
        <v>458</v>
      </c>
      <c r="M107" s="147" t="s">
        <v>318</v>
      </c>
      <c r="N107" s="38" t="s">
        <v>458</v>
      </c>
      <c r="O107" s="38" t="s">
        <v>458</v>
      </c>
      <c r="P107" s="38" t="s">
        <v>458</v>
      </c>
      <c r="Q107" s="38" t="s">
        <v>458</v>
      </c>
      <c r="R107" s="38" t="s">
        <v>458</v>
      </c>
      <c r="S107" s="38" t="s">
        <v>458</v>
      </c>
      <c r="T107" s="38" t="s">
        <v>458</v>
      </c>
      <c r="U107" s="147" t="s">
        <v>458</v>
      </c>
      <c r="V107" s="144" t="s">
        <v>458</v>
      </c>
      <c r="W107" s="144" t="s">
        <v>458</v>
      </c>
      <c r="X107" s="144" t="s">
        <v>458</v>
      </c>
      <c r="Y107" s="146" t="s">
        <v>458</v>
      </c>
      <c r="Z107" s="353" t="s">
        <v>319</v>
      </c>
      <c r="AA107" s="9" t="s">
        <v>145</v>
      </c>
      <c r="AB107" s="9" t="s">
        <v>459</v>
      </c>
      <c r="AC107" s="144" t="s">
        <v>458</v>
      </c>
    </row>
    <row r="108" spans="1:29" ht="16" x14ac:dyDescent="0.2">
      <c r="A108" s="21">
        <v>18</v>
      </c>
      <c r="B108" s="29" t="s">
        <v>374</v>
      </c>
      <c r="C108" s="29" t="s">
        <v>71</v>
      </c>
      <c r="D108" s="117" t="s">
        <v>211</v>
      </c>
      <c r="E108" s="93" t="s">
        <v>120</v>
      </c>
      <c r="F108" s="259" t="s">
        <v>430</v>
      </c>
      <c r="G108" s="147">
        <v>26</v>
      </c>
      <c r="H108" s="97" t="s">
        <v>121</v>
      </c>
      <c r="I108" s="37">
        <v>26</v>
      </c>
      <c r="J108" s="37" t="s">
        <v>458</v>
      </c>
      <c r="K108" s="37">
        <v>26</v>
      </c>
      <c r="L108" s="37" t="s">
        <v>458</v>
      </c>
      <c r="M108" s="147" t="s">
        <v>318</v>
      </c>
      <c r="N108" s="38" t="s">
        <v>458</v>
      </c>
      <c r="O108" s="38" t="s">
        <v>458</v>
      </c>
      <c r="P108" s="38" t="s">
        <v>458</v>
      </c>
      <c r="Q108" s="38" t="s">
        <v>458</v>
      </c>
      <c r="R108" s="38" t="s">
        <v>458</v>
      </c>
      <c r="S108" s="38" t="s">
        <v>458</v>
      </c>
      <c r="T108" s="38" t="s">
        <v>458</v>
      </c>
      <c r="U108" s="147" t="s">
        <v>458</v>
      </c>
      <c r="V108" s="144" t="s">
        <v>458</v>
      </c>
      <c r="W108" s="144" t="s">
        <v>458</v>
      </c>
      <c r="X108" s="144" t="s">
        <v>458</v>
      </c>
      <c r="Y108" s="146" t="s">
        <v>458</v>
      </c>
      <c r="Z108" s="353" t="s">
        <v>319</v>
      </c>
      <c r="AA108" s="9" t="s">
        <v>145</v>
      </c>
      <c r="AB108" s="9" t="s">
        <v>459</v>
      </c>
      <c r="AC108" s="144" t="s">
        <v>458</v>
      </c>
    </row>
    <row r="109" spans="1:29" ht="16" x14ac:dyDescent="0.2">
      <c r="A109" s="21">
        <v>18</v>
      </c>
      <c r="B109" s="29" t="s">
        <v>375</v>
      </c>
      <c r="C109" s="29" t="s">
        <v>72</v>
      </c>
      <c r="D109" s="117" t="s">
        <v>211</v>
      </c>
      <c r="E109" s="93" t="s">
        <v>120</v>
      </c>
      <c r="F109" s="259" t="s">
        <v>430</v>
      </c>
      <c r="G109" s="147">
        <v>26</v>
      </c>
      <c r="H109" s="97" t="s">
        <v>121</v>
      </c>
      <c r="I109" s="37">
        <v>26</v>
      </c>
      <c r="J109" s="37" t="s">
        <v>458</v>
      </c>
      <c r="K109" s="37">
        <v>26</v>
      </c>
      <c r="L109" s="37" t="s">
        <v>458</v>
      </c>
      <c r="M109" s="147" t="s">
        <v>318</v>
      </c>
      <c r="N109" s="38" t="s">
        <v>458</v>
      </c>
      <c r="O109" s="38" t="s">
        <v>458</v>
      </c>
      <c r="P109" s="38" t="s">
        <v>458</v>
      </c>
      <c r="Q109" s="38" t="s">
        <v>458</v>
      </c>
      <c r="R109" s="38" t="s">
        <v>458</v>
      </c>
      <c r="S109" s="38" t="s">
        <v>458</v>
      </c>
      <c r="T109" s="38" t="s">
        <v>458</v>
      </c>
      <c r="U109" s="147" t="s">
        <v>458</v>
      </c>
      <c r="V109" s="144" t="s">
        <v>458</v>
      </c>
      <c r="W109" s="144" t="s">
        <v>458</v>
      </c>
      <c r="X109" s="144" t="s">
        <v>458</v>
      </c>
      <c r="Y109" s="146" t="s">
        <v>458</v>
      </c>
      <c r="Z109" s="353" t="s">
        <v>319</v>
      </c>
      <c r="AA109" s="9" t="s">
        <v>145</v>
      </c>
      <c r="AB109" s="9" t="s">
        <v>459</v>
      </c>
      <c r="AC109" s="144" t="s">
        <v>458</v>
      </c>
    </row>
    <row r="110" spans="1:29" ht="16" x14ac:dyDescent="0.2">
      <c r="A110" s="21">
        <v>18</v>
      </c>
      <c r="B110" s="29" t="s">
        <v>376</v>
      </c>
      <c r="C110" s="29" t="s">
        <v>73</v>
      </c>
      <c r="D110" s="117" t="s">
        <v>211</v>
      </c>
      <c r="E110" s="93" t="s">
        <v>120</v>
      </c>
      <c r="F110" s="259" t="s">
        <v>430</v>
      </c>
      <c r="G110" s="147">
        <v>26</v>
      </c>
      <c r="H110" s="97" t="s">
        <v>121</v>
      </c>
      <c r="I110" s="37">
        <v>26</v>
      </c>
      <c r="J110" s="37" t="s">
        <v>458</v>
      </c>
      <c r="K110" s="37">
        <v>26</v>
      </c>
      <c r="L110" s="37" t="s">
        <v>458</v>
      </c>
      <c r="M110" s="147" t="s">
        <v>318</v>
      </c>
      <c r="N110" s="38" t="s">
        <v>458</v>
      </c>
      <c r="O110" s="38" t="s">
        <v>458</v>
      </c>
      <c r="P110" s="38" t="s">
        <v>458</v>
      </c>
      <c r="Q110" s="38" t="s">
        <v>458</v>
      </c>
      <c r="R110" s="38" t="s">
        <v>458</v>
      </c>
      <c r="S110" s="38" t="s">
        <v>458</v>
      </c>
      <c r="T110" s="38" t="s">
        <v>458</v>
      </c>
      <c r="U110" s="147" t="s">
        <v>458</v>
      </c>
      <c r="V110" s="144" t="s">
        <v>458</v>
      </c>
      <c r="W110" s="144" t="s">
        <v>458</v>
      </c>
      <c r="X110" s="144" t="s">
        <v>458</v>
      </c>
      <c r="Y110" s="146" t="s">
        <v>458</v>
      </c>
      <c r="Z110" s="353" t="s">
        <v>319</v>
      </c>
      <c r="AA110" s="9" t="s">
        <v>145</v>
      </c>
      <c r="AB110" s="9" t="s">
        <v>459</v>
      </c>
      <c r="AC110" s="144" t="s">
        <v>458</v>
      </c>
    </row>
    <row r="111" spans="1:29" s="19" customFormat="1" ht="16" x14ac:dyDescent="0.2">
      <c r="A111" s="276">
        <v>18</v>
      </c>
      <c r="B111" s="275" t="s">
        <v>377</v>
      </c>
      <c r="C111" s="275" t="s">
        <v>74</v>
      </c>
      <c r="D111" s="265" t="s">
        <v>211</v>
      </c>
      <c r="E111" s="43" t="s">
        <v>120</v>
      </c>
      <c r="F111" s="43" t="s">
        <v>430</v>
      </c>
      <c r="G111" s="84">
        <v>26</v>
      </c>
      <c r="H111" s="266" t="s">
        <v>121</v>
      </c>
      <c r="I111" s="43">
        <v>26</v>
      </c>
      <c r="J111" s="43" t="s">
        <v>458</v>
      </c>
      <c r="K111" s="43">
        <v>26</v>
      </c>
      <c r="L111" s="43" t="s">
        <v>458</v>
      </c>
      <c r="M111" s="84" t="s">
        <v>318</v>
      </c>
      <c r="N111" s="84" t="s">
        <v>458</v>
      </c>
      <c r="O111" s="84" t="s">
        <v>458</v>
      </c>
      <c r="P111" s="84" t="s">
        <v>458</v>
      </c>
      <c r="Q111" s="84" t="s">
        <v>458</v>
      </c>
      <c r="R111" s="84" t="s">
        <v>458</v>
      </c>
      <c r="S111" s="84" t="s">
        <v>458</v>
      </c>
      <c r="T111" s="84" t="s">
        <v>458</v>
      </c>
      <c r="U111" s="84" t="s">
        <v>458</v>
      </c>
      <c r="V111" s="43" t="s">
        <v>458</v>
      </c>
      <c r="W111" s="43" t="s">
        <v>458</v>
      </c>
      <c r="X111" s="43" t="s">
        <v>458</v>
      </c>
      <c r="Y111" s="19" t="s">
        <v>458</v>
      </c>
      <c r="Z111" s="181" t="s">
        <v>319</v>
      </c>
      <c r="AA111" s="215" t="s">
        <v>145</v>
      </c>
      <c r="AB111" s="215" t="s">
        <v>459</v>
      </c>
      <c r="AC111" s="43" t="s">
        <v>458</v>
      </c>
    </row>
    <row r="112" spans="1:29" ht="16" x14ac:dyDescent="0.2">
      <c r="A112" s="21">
        <v>19</v>
      </c>
      <c r="B112" s="29" t="s">
        <v>361</v>
      </c>
      <c r="C112" s="29" t="s">
        <v>75</v>
      </c>
      <c r="D112" s="117" t="s">
        <v>211</v>
      </c>
      <c r="E112" s="93" t="s">
        <v>120</v>
      </c>
      <c r="F112" s="260" t="s">
        <v>428</v>
      </c>
      <c r="G112" s="38">
        <v>30</v>
      </c>
      <c r="H112" s="97" t="s">
        <v>121</v>
      </c>
      <c r="I112" s="37" t="s">
        <v>458</v>
      </c>
      <c r="J112" s="37" t="s">
        <v>458</v>
      </c>
      <c r="K112" s="37" t="s">
        <v>458</v>
      </c>
      <c r="L112" s="37" t="s">
        <v>458</v>
      </c>
      <c r="M112" s="37" t="s">
        <v>458</v>
      </c>
      <c r="N112" s="37" t="s">
        <v>458</v>
      </c>
      <c r="O112" s="37" t="s">
        <v>458</v>
      </c>
      <c r="P112" s="37" t="s">
        <v>458</v>
      </c>
      <c r="Q112" s="37" t="s">
        <v>458</v>
      </c>
      <c r="R112" s="38" t="s">
        <v>458</v>
      </c>
      <c r="S112" s="38" t="s">
        <v>458</v>
      </c>
      <c r="T112" s="38" t="s">
        <v>458</v>
      </c>
      <c r="U112" s="147" t="s">
        <v>458</v>
      </c>
      <c r="V112" s="144" t="s">
        <v>458</v>
      </c>
      <c r="W112" s="144" t="s">
        <v>458</v>
      </c>
      <c r="X112" s="144" t="s">
        <v>458</v>
      </c>
      <c r="Y112" s="146" t="s">
        <v>458</v>
      </c>
      <c r="Z112" s="155" t="s">
        <v>323</v>
      </c>
      <c r="AA112" s="165" t="s">
        <v>247</v>
      </c>
      <c r="AB112" s="165" t="s">
        <v>457</v>
      </c>
      <c r="AC112" s="144" t="s">
        <v>458</v>
      </c>
    </row>
    <row r="113" spans="1:29" ht="16" x14ac:dyDescent="0.2">
      <c r="A113" s="21">
        <v>19</v>
      </c>
      <c r="B113" s="29" t="s">
        <v>365</v>
      </c>
      <c r="C113" s="29" t="s">
        <v>76</v>
      </c>
      <c r="D113" s="117" t="s">
        <v>211</v>
      </c>
      <c r="E113" s="165" t="s">
        <v>213</v>
      </c>
      <c r="F113" s="260" t="s">
        <v>428</v>
      </c>
      <c r="G113" s="38">
        <v>30</v>
      </c>
      <c r="H113" s="97" t="s">
        <v>121</v>
      </c>
      <c r="I113" s="37" t="s">
        <v>458</v>
      </c>
      <c r="J113" s="37" t="s">
        <v>458</v>
      </c>
      <c r="K113" s="37" t="s">
        <v>458</v>
      </c>
      <c r="L113" s="37" t="s">
        <v>458</v>
      </c>
      <c r="M113" s="37" t="s">
        <v>458</v>
      </c>
      <c r="N113" s="37" t="s">
        <v>458</v>
      </c>
      <c r="O113" s="37" t="s">
        <v>458</v>
      </c>
      <c r="P113" s="37" t="s">
        <v>458</v>
      </c>
      <c r="Q113" s="37" t="s">
        <v>458</v>
      </c>
      <c r="R113" s="38" t="s">
        <v>458</v>
      </c>
      <c r="S113" s="38" t="s">
        <v>458</v>
      </c>
      <c r="T113" s="38" t="s">
        <v>458</v>
      </c>
      <c r="U113" s="147" t="s">
        <v>458</v>
      </c>
      <c r="V113" s="144" t="s">
        <v>458</v>
      </c>
      <c r="W113" s="144" t="s">
        <v>458</v>
      </c>
      <c r="X113" s="144" t="s">
        <v>458</v>
      </c>
      <c r="Y113" s="146" t="s">
        <v>458</v>
      </c>
      <c r="Z113" s="155" t="s">
        <v>323</v>
      </c>
      <c r="AA113" s="165" t="s">
        <v>247</v>
      </c>
      <c r="AB113" s="165" t="s">
        <v>457</v>
      </c>
      <c r="AC113" s="144" t="s">
        <v>458</v>
      </c>
    </row>
    <row r="114" spans="1:29" ht="16" x14ac:dyDescent="0.2">
      <c r="A114" s="21">
        <v>19</v>
      </c>
      <c r="B114" s="29">
        <v>2</v>
      </c>
      <c r="C114" s="29" t="s">
        <v>77</v>
      </c>
      <c r="D114" s="117" t="s">
        <v>211</v>
      </c>
      <c r="E114" s="93" t="s">
        <v>120</v>
      </c>
      <c r="F114" s="260" t="s">
        <v>428</v>
      </c>
      <c r="G114" s="38">
        <v>30</v>
      </c>
      <c r="H114" s="97" t="s">
        <v>121</v>
      </c>
      <c r="I114" s="37" t="s">
        <v>458</v>
      </c>
      <c r="J114" s="37" t="s">
        <v>458</v>
      </c>
      <c r="K114" s="37" t="s">
        <v>458</v>
      </c>
      <c r="L114" s="37" t="s">
        <v>458</v>
      </c>
      <c r="M114" s="37" t="s">
        <v>458</v>
      </c>
      <c r="N114" s="37" t="s">
        <v>458</v>
      </c>
      <c r="O114" s="37" t="s">
        <v>458</v>
      </c>
      <c r="P114" s="37" t="s">
        <v>458</v>
      </c>
      <c r="Q114" s="37" t="s">
        <v>458</v>
      </c>
      <c r="R114" s="38" t="s">
        <v>458</v>
      </c>
      <c r="S114" s="38" t="s">
        <v>458</v>
      </c>
      <c r="T114" s="38" t="s">
        <v>458</v>
      </c>
      <c r="U114" s="147" t="s">
        <v>458</v>
      </c>
      <c r="V114" s="144" t="s">
        <v>458</v>
      </c>
      <c r="W114" s="144" t="s">
        <v>458</v>
      </c>
      <c r="X114" s="144" t="s">
        <v>458</v>
      </c>
      <c r="Y114" s="146" t="s">
        <v>458</v>
      </c>
      <c r="Z114" s="155" t="s">
        <v>323</v>
      </c>
      <c r="AA114" s="165" t="s">
        <v>247</v>
      </c>
      <c r="AB114" s="165" t="s">
        <v>457</v>
      </c>
      <c r="AC114" s="144" t="s">
        <v>458</v>
      </c>
    </row>
    <row r="115" spans="1:29" ht="16" x14ac:dyDescent="0.2">
      <c r="A115" s="21">
        <v>19</v>
      </c>
      <c r="B115" s="29">
        <v>3</v>
      </c>
      <c r="C115" s="29" t="s">
        <v>78</v>
      </c>
      <c r="D115" s="117" t="s">
        <v>211</v>
      </c>
      <c r="E115" s="93" t="s">
        <v>120</v>
      </c>
      <c r="F115" s="260" t="s">
        <v>428</v>
      </c>
      <c r="G115" s="38">
        <v>30</v>
      </c>
      <c r="H115" s="97" t="s">
        <v>121</v>
      </c>
      <c r="I115" s="37" t="s">
        <v>458</v>
      </c>
      <c r="J115" s="37" t="s">
        <v>458</v>
      </c>
      <c r="K115" s="37" t="s">
        <v>458</v>
      </c>
      <c r="L115" s="37" t="s">
        <v>458</v>
      </c>
      <c r="M115" s="37" t="s">
        <v>458</v>
      </c>
      <c r="N115" s="37" t="s">
        <v>458</v>
      </c>
      <c r="O115" s="37" t="s">
        <v>458</v>
      </c>
      <c r="P115" s="37" t="s">
        <v>458</v>
      </c>
      <c r="Q115" s="37" t="s">
        <v>458</v>
      </c>
      <c r="R115" s="38" t="s">
        <v>458</v>
      </c>
      <c r="S115" s="38" t="s">
        <v>458</v>
      </c>
      <c r="T115" s="38" t="s">
        <v>458</v>
      </c>
      <c r="U115" s="147" t="s">
        <v>458</v>
      </c>
      <c r="V115" s="144" t="s">
        <v>458</v>
      </c>
      <c r="W115" s="144" t="s">
        <v>458</v>
      </c>
      <c r="X115" s="144" t="s">
        <v>458</v>
      </c>
      <c r="Y115" s="146" t="s">
        <v>458</v>
      </c>
      <c r="Z115" s="155" t="s">
        <v>323</v>
      </c>
      <c r="AA115" s="165" t="s">
        <v>247</v>
      </c>
      <c r="AB115" s="165" t="s">
        <v>457</v>
      </c>
      <c r="AC115" s="144" t="s">
        <v>458</v>
      </c>
    </row>
    <row r="116" spans="1:29" ht="16" x14ac:dyDescent="0.2">
      <c r="A116" s="21">
        <v>19</v>
      </c>
      <c r="B116" s="29">
        <v>4</v>
      </c>
      <c r="C116" s="29" t="s">
        <v>79</v>
      </c>
      <c r="D116" s="117" t="s">
        <v>211</v>
      </c>
      <c r="E116" s="93" t="s">
        <v>120</v>
      </c>
      <c r="F116" s="260" t="s">
        <v>428</v>
      </c>
      <c r="G116" s="38">
        <v>30</v>
      </c>
      <c r="H116" s="97" t="s">
        <v>121</v>
      </c>
      <c r="I116" s="37" t="s">
        <v>458</v>
      </c>
      <c r="J116" s="37" t="s">
        <v>458</v>
      </c>
      <c r="K116" s="37" t="s">
        <v>458</v>
      </c>
      <c r="L116" s="37" t="s">
        <v>458</v>
      </c>
      <c r="M116" s="37" t="s">
        <v>458</v>
      </c>
      <c r="N116" s="37" t="s">
        <v>458</v>
      </c>
      <c r="O116" s="37" t="s">
        <v>458</v>
      </c>
      <c r="P116" s="37" t="s">
        <v>458</v>
      </c>
      <c r="Q116" s="37" t="s">
        <v>458</v>
      </c>
      <c r="R116" s="38" t="s">
        <v>458</v>
      </c>
      <c r="S116" s="38" t="s">
        <v>458</v>
      </c>
      <c r="T116" s="38" t="s">
        <v>458</v>
      </c>
      <c r="U116" s="147" t="s">
        <v>458</v>
      </c>
      <c r="V116" s="144" t="s">
        <v>458</v>
      </c>
      <c r="W116" s="144" t="s">
        <v>458</v>
      </c>
      <c r="X116" s="144" t="s">
        <v>458</v>
      </c>
      <c r="Y116" s="146" t="s">
        <v>458</v>
      </c>
      <c r="Z116" s="155" t="s">
        <v>323</v>
      </c>
      <c r="AA116" s="165" t="s">
        <v>247</v>
      </c>
      <c r="AB116" s="165" t="s">
        <v>457</v>
      </c>
      <c r="AC116" s="144" t="s">
        <v>458</v>
      </c>
    </row>
    <row r="117" spans="1:29" ht="16" x14ac:dyDescent="0.2">
      <c r="A117" s="21">
        <v>19</v>
      </c>
      <c r="B117" s="29">
        <v>5</v>
      </c>
      <c r="C117" s="29" t="s">
        <v>80</v>
      </c>
      <c r="D117" s="117" t="s">
        <v>211</v>
      </c>
      <c r="E117" s="93" t="s">
        <v>120</v>
      </c>
      <c r="F117" s="260" t="s">
        <v>428</v>
      </c>
      <c r="G117" s="38">
        <v>30</v>
      </c>
      <c r="H117" s="97" t="s">
        <v>121</v>
      </c>
      <c r="I117" s="37" t="s">
        <v>458</v>
      </c>
      <c r="J117" s="37" t="s">
        <v>458</v>
      </c>
      <c r="K117" s="37" t="s">
        <v>458</v>
      </c>
      <c r="L117" s="37" t="s">
        <v>458</v>
      </c>
      <c r="M117" s="37" t="s">
        <v>458</v>
      </c>
      <c r="N117" s="37" t="s">
        <v>458</v>
      </c>
      <c r="O117" s="37" t="s">
        <v>458</v>
      </c>
      <c r="P117" s="37" t="s">
        <v>458</v>
      </c>
      <c r="Q117" s="37" t="s">
        <v>458</v>
      </c>
      <c r="R117" s="38" t="s">
        <v>458</v>
      </c>
      <c r="S117" s="38" t="s">
        <v>458</v>
      </c>
      <c r="T117" s="38" t="s">
        <v>458</v>
      </c>
      <c r="U117" s="147" t="s">
        <v>458</v>
      </c>
      <c r="V117" s="144" t="s">
        <v>458</v>
      </c>
      <c r="W117" s="144" t="s">
        <v>458</v>
      </c>
      <c r="X117" s="144" t="s">
        <v>458</v>
      </c>
      <c r="Y117" s="146" t="s">
        <v>458</v>
      </c>
      <c r="Z117" s="155" t="s">
        <v>323</v>
      </c>
      <c r="AA117" s="165" t="s">
        <v>247</v>
      </c>
      <c r="AB117" s="165" t="s">
        <v>457</v>
      </c>
      <c r="AC117" s="144" t="s">
        <v>458</v>
      </c>
    </row>
    <row r="118" spans="1:29" ht="16" x14ac:dyDescent="0.2">
      <c r="A118" s="21">
        <v>19</v>
      </c>
      <c r="B118" s="29">
        <v>6</v>
      </c>
      <c r="C118" s="29" t="s">
        <v>81</v>
      </c>
      <c r="D118" s="117" t="s">
        <v>211</v>
      </c>
      <c r="E118" s="93" t="s">
        <v>120</v>
      </c>
      <c r="F118" s="260" t="s">
        <v>428</v>
      </c>
      <c r="G118" s="38">
        <v>30</v>
      </c>
      <c r="H118" s="97" t="s">
        <v>121</v>
      </c>
      <c r="I118" s="37" t="s">
        <v>458</v>
      </c>
      <c r="J118" s="37" t="s">
        <v>458</v>
      </c>
      <c r="K118" s="37" t="s">
        <v>458</v>
      </c>
      <c r="L118" s="37" t="s">
        <v>458</v>
      </c>
      <c r="M118" s="37" t="s">
        <v>458</v>
      </c>
      <c r="N118" s="37" t="s">
        <v>458</v>
      </c>
      <c r="O118" s="37" t="s">
        <v>458</v>
      </c>
      <c r="P118" s="37" t="s">
        <v>458</v>
      </c>
      <c r="Q118" s="37" t="s">
        <v>458</v>
      </c>
      <c r="R118" s="38" t="s">
        <v>458</v>
      </c>
      <c r="S118" s="38" t="s">
        <v>458</v>
      </c>
      <c r="T118" s="38" t="s">
        <v>458</v>
      </c>
      <c r="U118" s="147" t="s">
        <v>458</v>
      </c>
      <c r="V118" s="144" t="s">
        <v>458</v>
      </c>
      <c r="W118" s="144" t="s">
        <v>458</v>
      </c>
      <c r="X118" s="144" t="s">
        <v>458</v>
      </c>
      <c r="Y118" s="146" t="s">
        <v>458</v>
      </c>
      <c r="Z118" s="155" t="s">
        <v>323</v>
      </c>
      <c r="AA118" s="165" t="s">
        <v>247</v>
      </c>
      <c r="AB118" s="165" t="s">
        <v>457</v>
      </c>
      <c r="AC118" s="144" t="s">
        <v>458</v>
      </c>
    </row>
    <row r="119" spans="1:29" s="174" customFormat="1" ht="16" x14ac:dyDescent="0.2">
      <c r="A119" s="22">
        <v>19</v>
      </c>
      <c r="B119" s="35">
        <v>7</v>
      </c>
      <c r="C119" s="35" t="s">
        <v>82</v>
      </c>
      <c r="D119" s="171" t="s">
        <v>211</v>
      </c>
      <c r="E119" s="172" t="s">
        <v>120</v>
      </c>
      <c r="F119" s="263" t="s">
        <v>428</v>
      </c>
      <c r="G119" s="171">
        <v>30</v>
      </c>
      <c r="H119" s="173" t="s">
        <v>121</v>
      </c>
      <c r="I119" s="172" t="s">
        <v>458</v>
      </c>
      <c r="J119" s="172" t="s">
        <v>458</v>
      </c>
      <c r="K119" s="172" t="s">
        <v>458</v>
      </c>
      <c r="L119" s="172" t="s">
        <v>458</v>
      </c>
      <c r="M119" s="172" t="s">
        <v>458</v>
      </c>
      <c r="N119" s="172" t="s">
        <v>458</v>
      </c>
      <c r="O119" s="172" t="s">
        <v>458</v>
      </c>
      <c r="P119" s="172" t="s">
        <v>458</v>
      </c>
      <c r="Q119" s="172" t="s">
        <v>458</v>
      </c>
      <c r="R119" s="171" t="s">
        <v>458</v>
      </c>
      <c r="S119" s="171" t="s">
        <v>458</v>
      </c>
      <c r="T119" s="171" t="s">
        <v>458</v>
      </c>
      <c r="U119" s="171" t="s">
        <v>458</v>
      </c>
      <c r="V119" s="172" t="s">
        <v>458</v>
      </c>
      <c r="W119" s="172" t="s">
        <v>458</v>
      </c>
      <c r="X119" s="172" t="s">
        <v>458</v>
      </c>
      <c r="Y119" s="174" t="s">
        <v>458</v>
      </c>
      <c r="Z119" s="249" t="s">
        <v>323</v>
      </c>
      <c r="AA119" s="166" t="s">
        <v>247</v>
      </c>
      <c r="AB119" s="166" t="s">
        <v>457</v>
      </c>
      <c r="AC119" s="145" t="s">
        <v>458</v>
      </c>
    </row>
    <row r="120" spans="1:29" ht="16" x14ac:dyDescent="0.2">
      <c r="A120" s="21">
        <v>20</v>
      </c>
      <c r="B120" s="29">
        <v>5</v>
      </c>
      <c r="C120" s="29" t="s">
        <v>62</v>
      </c>
      <c r="D120" s="117" t="s">
        <v>211</v>
      </c>
      <c r="E120" s="93" t="s">
        <v>120</v>
      </c>
      <c r="F120" s="260" t="s">
        <v>428</v>
      </c>
      <c r="G120" s="38">
        <v>60</v>
      </c>
      <c r="H120" s="97" t="s">
        <v>121</v>
      </c>
      <c r="I120" s="37" t="s">
        <v>458</v>
      </c>
      <c r="J120" s="37" t="s">
        <v>458</v>
      </c>
      <c r="K120" s="37" t="s">
        <v>458</v>
      </c>
      <c r="L120" s="37" t="s">
        <v>458</v>
      </c>
      <c r="M120" s="37" t="s">
        <v>458</v>
      </c>
      <c r="N120" s="37" t="s">
        <v>458</v>
      </c>
      <c r="O120" s="37" t="s">
        <v>458</v>
      </c>
      <c r="P120" s="37" t="s">
        <v>458</v>
      </c>
      <c r="Q120" s="37" t="s">
        <v>458</v>
      </c>
      <c r="R120" s="102">
        <v>60</v>
      </c>
      <c r="S120" s="102">
        <v>8</v>
      </c>
      <c r="T120" s="38">
        <v>50</v>
      </c>
      <c r="U120" s="147" t="s">
        <v>458</v>
      </c>
      <c r="V120" s="144" t="s">
        <v>458</v>
      </c>
      <c r="W120" s="144" t="s">
        <v>458</v>
      </c>
      <c r="X120" s="144" t="s">
        <v>458</v>
      </c>
      <c r="Y120" s="146" t="s">
        <v>458</v>
      </c>
      <c r="Z120" s="155" t="s">
        <v>326</v>
      </c>
      <c r="AA120" s="259" t="s">
        <v>119</v>
      </c>
      <c r="AB120" s="259" t="s">
        <v>460</v>
      </c>
      <c r="AC120" s="175" t="s">
        <v>325</v>
      </c>
    </row>
    <row r="121" spans="1:29" ht="16" x14ac:dyDescent="0.2">
      <c r="A121" s="21">
        <v>20</v>
      </c>
      <c r="B121" s="29">
        <v>6</v>
      </c>
      <c r="C121" s="29" t="s">
        <v>83</v>
      </c>
      <c r="D121" s="117" t="s">
        <v>211</v>
      </c>
      <c r="E121" s="93" t="s">
        <v>120</v>
      </c>
      <c r="F121" s="260" t="s">
        <v>428</v>
      </c>
      <c r="G121" s="38">
        <v>60</v>
      </c>
      <c r="H121" s="97" t="s">
        <v>121</v>
      </c>
      <c r="I121" s="37" t="s">
        <v>458</v>
      </c>
      <c r="J121" s="37" t="s">
        <v>458</v>
      </c>
      <c r="K121" s="37" t="s">
        <v>458</v>
      </c>
      <c r="L121" s="37" t="s">
        <v>458</v>
      </c>
      <c r="M121" s="37" t="s">
        <v>458</v>
      </c>
      <c r="N121" s="37" t="s">
        <v>458</v>
      </c>
      <c r="O121" s="37" t="s">
        <v>458</v>
      </c>
      <c r="P121" s="37" t="s">
        <v>458</v>
      </c>
      <c r="Q121" s="37" t="s">
        <v>458</v>
      </c>
      <c r="R121" s="102">
        <v>60</v>
      </c>
      <c r="S121" s="102">
        <v>8</v>
      </c>
      <c r="T121" s="38">
        <v>50</v>
      </c>
      <c r="U121" s="147" t="s">
        <v>458</v>
      </c>
      <c r="V121" s="144" t="s">
        <v>458</v>
      </c>
      <c r="W121" s="144" t="s">
        <v>458</v>
      </c>
      <c r="X121" s="144" t="s">
        <v>458</v>
      </c>
      <c r="Y121" s="146" t="s">
        <v>458</v>
      </c>
      <c r="Z121" s="155" t="s">
        <v>326</v>
      </c>
      <c r="AA121" s="259" t="s">
        <v>119</v>
      </c>
      <c r="AB121" s="259" t="s">
        <v>460</v>
      </c>
      <c r="AC121" s="175" t="s">
        <v>325</v>
      </c>
    </row>
    <row r="122" spans="1:29" ht="16" x14ac:dyDescent="0.2">
      <c r="A122" s="21">
        <v>20</v>
      </c>
      <c r="B122" s="29">
        <v>7</v>
      </c>
      <c r="C122" s="29" t="s">
        <v>84</v>
      </c>
      <c r="D122" s="117" t="s">
        <v>211</v>
      </c>
      <c r="E122" s="93" t="s">
        <v>120</v>
      </c>
      <c r="F122" s="260" t="s">
        <v>428</v>
      </c>
      <c r="G122" s="38">
        <v>60</v>
      </c>
      <c r="H122" s="97" t="s">
        <v>121</v>
      </c>
      <c r="I122" s="37" t="s">
        <v>458</v>
      </c>
      <c r="J122" s="37" t="s">
        <v>458</v>
      </c>
      <c r="K122" s="37" t="s">
        <v>458</v>
      </c>
      <c r="L122" s="37" t="s">
        <v>458</v>
      </c>
      <c r="M122" s="37" t="s">
        <v>458</v>
      </c>
      <c r="N122" s="37" t="s">
        <v>458</v>
      </c>
      <c r="O122" s="37" t="s">
        <v>458</v>
      </c>
      <c r="P122" s="37" t="s">
        <v>458</v>
      </c>
      <c r="Q122" s="37" t="s">
        <v>458</v>
      </c>
      <c r="R122" s="102">
        <v>60</v>
      </c>
      <c r="S122" s="102">
        <v>8</v>
      </c>
      <c r="T122" s="38">
        <v>50</v>
      </c>
      <c r="U122" s="147" t="s">
        <v>458</v>
      </c>
      <c r="V122" s="144" t="s">
        <v>458</v>
      </c>
      <c r="W122" s="144" t="s">
        <v>458</v>
      </c>
      <c r="X122" s="144" t="s">
        <v>458</v>
      </c>
      <c r="Y122" s="146" t="s">
        <v>458</v>
      </c>
      <c r="Z122" s="155" t="s">
        <v>326</v>
      </c>
      <c r="AA122" s="259" t="s">
        <v>119</v>
      </c>
      <c r="AB122" s="259" t="s">
        <v>460</v>
      </c>
      <c r="AC122" s="175" t="s">
        <v>325</v>
      </c>
    </row>
    <row r="123" spans="1:29" ht="16" x14ac:dyDescent="0.2">
      <c r="A123" s="21">
        <v>20</v>
      </c>
      <c r="B123" s="29">
        <v>8</v>
      </c>
      <c r="C123" s="29" t="s">
        <v>85</v>
      </c>
      <c r="D123" s="117" t="s">
        <v>211</v>
      </c>
      <c r="E123" s="93" t="s">
        <v>120</v>
      </c>
      <c r="F123" s="260" t="s">
        <v>428</v>
      </c>
      <c r="G123" s="38">
        <v>60</v>
      </c>
      <c r="H123" s="97" t="s">
        <v>121</v>
      </c>
      <c r="I123" s="37" t="s">
        <v>458</v>
      </c>
      <c r="J123" s="37" t="s">
        <v>458</v>
      </c>
      <c r="K123" s="37" t="s">
        <v>458</v>
      </c>
      <c r="L123" s="37" t="s">
        <v>458</v>
      </c>
      <c r="M123" s="37" t="s">
        <v>458</v>
      </c>
      <c r="N123" s="37" t="s">
        <v>458</v>
      </c>
      <c r="O123" s="37" t="s">
        <v>458</v>
      </c>
      <c r="P123" s="37" t="s">
        <v>458</v>
      </c>
      <c r="Q123" s="175" t="s">
        <v>458</v>
      </c>
      <c r="R123" s="102">
        <v>60</v>
      </c>
      <c r="S123" s="102">
        <v>8</v>
      </c>
      <c r="T123" s="38">
        <v>50</v>
      </c>
      <c r="U123" s="147" t="s">
        <v>458</v>
      </c>
      <c r="V123" s="144" t="s">
        <v>458</v>
      </c>
      <c r="W123" s="144" t="s">
        <v>458</v>
      </c>
      <c r="X123" s="144" t="s">
        <v>458</v>
      </c>
      <c r="Y123" s="146" t="s">
        <v>458</v>
      </c>
      <c r="Z123" s="155" t="s">
        <v>326</v>
      </c>
      <c r="AA123" s="259" t="s">
        <v>119</v>
      </c>
      <c r="AB123" s="259" t="s">
        <v>460</v>
      </c>
      <c r="AC123" s="175" t="s">
        <v>325</v>
      </c>
    </row>
    <row r="124" spans="1:29" ht="16" x14ac:dyDescent="0.2">
      <c r="A124" s="21">
        <v>20</v>
      </c>
      <c r="B124" s="29">
        <v>9</v>
      </c>
      <c r="C124" s="29" t="s">
        <v>62</v>
      </c>
      <c r="D124" s="117" t="s">
        <v>211</v>
      </c>
      <c r="E124" s="93" t="s">
        <v>120</v>
      </c>
      <c r="F124" s="318" t="s">
        <v>477</v>
      </c>
      <c r="G124" s="38">
        <v>23</v>
      </c>
      <c r="H124" s="97" t="s">
        <v>121</v>
      </c>
      <c r="I124" s="37" t="s">
        <v>458</v>
      </c>
      <c r="J124" s="37" t="s">
        <v>458</v>
      </c>
      <c r="K124" s="37" t="s">
        <v>458</v>
      </c>
      <c r="L124" s="37" t="s">
        <v>458</v>
      </c>
      <c r="M124" s="37" t="s">
        <v>458</v>
      </c>
      <c r="N124" s="37" t="s">
        <v>458</v>
      </c>
      <c r="O124" s="37">
        <v>21</v>
      </c>
      <c r="P124" s="102">
        <v>6.5</v>
      </c>
      <c r="Q124" s="38">
        <v>23</v>
      </c>
      <c r="R124" s="37" t="s">
        <v>458</v>
      </c>
      <c r="S124" s="37" t="s">
        <v>458</v>
      </c>
      <c r="T124" s="37" t="s">
        <v>458</v>
      </c>
      <c r="U124" s="147" t="s">
        <v>458</v>
      </c>
      <c r="V124" s="144" t="s">
        <v>458</v>
      </c>
      <c r="W124" s="144" t="s">
        <v>458</v>
      </c>
      <c r="X124" s="144" t="s">
        <v>458</v>
      </c>
      <c r="Y124" s="146" t="s">
        <v>458</v>
      </c>
      <c r="Z124" s="155" t="s">
        <v>327</v>
      </c>
      <c r="AA124" s="259" t="s">
        <v>122</v>
      </c>
      <c r="AB124" s="259" t="s">
        <v>460</v>
      </c>
      <c r="AC124" s="175" t="s">
        <v>458</v>
      </c>
    </row>
    <row r="125" spans="1:29" s="17" customFormat="1" ht="16" x14ac:dyDescent="0.2">
      <c r="A125" s="23">
        <v>20</v>
      </c>
      <c r="B125" s="30">
        <v>10</v>
      </c>
      <c r="C125" s="30" t="s">
        <v>85</v>
      </c>
      <c r="D125" s="109" t="s">
        <v>211</v>
      </c>
      <c r="E125" s="106" t="s">
        <v>120</v>
      </c>
      <c r="F125" s="318" t="s">
        <v>477</v>
      </c>
      <c r="G125" s="94">
        <v>23</v>
      </c>
      <c r="H125" s="98" t="s">
        <v>121</v>
      </c>
      <c r="I125" s="36" t="s">
        <v>458</v>
      </c>
      <c r="J125" s="36" t="s">
        <v>458</v>
      </c>
      <c r="K125" s="36" t="s">
        <v>458</v>
      </c>
      <c r="L125" s="36" t="s">
        <v>458</v>
      </c>
      <c r="M125" s="36" t="s">
        <v>458</v>
      </c>
      <c r="N125" s="36" t="s">
        <v>458</v>
      </c>
      <c r="O125" s="36">
        <v>21</v>
      </c>
      <c r="P125" s="103">
        <v>6.5</v>
      </c>
      <c r="Q125" s="94">
        <v>23</v>
      </c>
      <c r="R125" s="36" t="s">
        <v>458</v>
      </c>
      <c r="S125" s="36" t="s">
        <v>458</v>
      </c>
      <c r="T125" s="36" t="s">
        <v>458</v>
      </c>
      <c r="U125" s="148" t="s">
        <v>458</v>
      </c>
      <c r="V125" s="145" t="s">
        <v>458</v>
      </c>
      <c r="W125" s="145" t="s">
        <v>458</v>
      </c>
      <c r="X125" s="145" t="s">
        <v>458</v>
      </c>
      <c r="Y125" s="150" t="s">
        <v>458</v>
      </c>
      <c r="Z125" s="249" t="s">
        <v>327</v>
      </c>
      <c r="AA125" s="248" t="s">
        <v>122</v>
      </c>
      <c r="AB125" s="248" t="s">
        <v>460</v>
      </c>
      <c r="AC125" s="176" t="s">
        <v>458</v>
      </c>
    </row>
    <row r="126" spans="1:29" ht="64" x14ac:dyDescent="0.2">
      <c r="A126" s="21">
        <v>21</v>
      </c>
      <c r="B126" s="29">
        <v>1</v>
      </c>
      <c r="C126" s="29" t="s">
        <v>29</v>
      </c>
      <c r="D126" s="117" t="s">
        <v>211</v>
      </c>
      <c r="E126" s="175" t="s">
        <v>120</v>
      </c>
      <c r="F126" s="257" t="s">
        <v>428</v>
      </c>
      <c r="G126" s="38">
        <v>58</v>
      </c>
      <c r="H126" s="97" t="s">
        <v>121</v>
      </c>
      <c r="I126" s="37" t="s">
        <v>458</v>
      </c>
      <c r="J126" s="37" t="s">
        <v>458</v>
      </c>
      <c r="K126" s="37" t="s">
        <v>458</v>
      </c>
      <c r="L126" s="37" t="s">
        <v>458</v>
      </c>
      <c r="M126" s="37" t="s">
        <v>458</v>
      </c>
      <c r="N126" s="37" t="s">
        <v>458</v>
      </c>
      <c r="O126" s="37" t="s">
        <v>458</v>
      </c>
      <c r="P126" s="37" t="s">
        <v>458</v>
      </c>
      <c r="Q126" s="37" t="s">
        <v>458</v>
      </c>
      <c r="R126" s="102">
        <v>55</v>
      </c>
      <c r="S126" s="37" t="s">
        <v>458</v>
      </c>
      <c r="T126" s="37">
        <v>58</v>
      </c>
      <c r="U126" s="147" t="s">
        <v>458</v>
      </c>
      <c r="V126" s="144" t="s">
        <v>458</v>
      </c>
      <c r="W126" s="144" t="s">
        <v>458</v>
      </c>
      <c r="X126" s="144" t="s">
        <v>458</v>
      </c>
      <c r="Y126" s="146" t="s">
        <v>458</v>
      </c>
      <c r="Z126" s="355" t="s">
        <v>334</v>
      </c>
      <c r="AA126" s="259" t="s">
        <v>119</v>
      </c>
      <c r="AB126" s="259" t="s">
        <v>460</v>
      </c>
      <c r="AC126" s="155" t="s">
        <v>330</v>
      </c>
    </row>
    <row r="127" spans="1:29" ht="64" x14ac:dyDescent="0.2">
      <c r="A127" s="21">
        <v>21</v>
      </c>
      <c r="B127" s="29">
        <v>2</v>
      </c>
      <c r="C127" s="29" t="s">
        <v>86</v>
      </c>
      <c r="D127" s="117" t="s">
        <v>211</v>
      </c>
      <c r="E127" s="175" t="s">
        <v>120</v>
      </c>
      <c r="F127" s="257" t="s">
        <v>428</v>
      </c>
      <c r="G127" s="38">
        <v>58</v>
      </c>
      <c r="H127" s="97" t="s">
        <v>121</v>
      </c>
      <c r="I127" s="37" t="s">
        <v>458</v>
      </c>
      <c r="J127" s="37" t="s">
        <v>458</v>
      </c>
      <c r="K127" s="37" t="s">
        <v>458</v>
      </c>
      <c r="L127" s="37" t="s">
        <v>458</v>
      </c>
      <c r="M127" s="37" t="s">
        <v>458</v>
      </c>
      <c r="N127" s="37" t="s">
        <v>458</v>
      </c>
      <c r="O127" s="37" t="s">
        <v>458</v>
      </c>
      <c r="P127" s="37" t="s">
        <v>458</v>
      </c>
      <c r="Q127" s="37" t="s">
        <v>458</v>
      </c>
      <c r="R127" s="102">
        <v>55</v>
      </c>
      <c r="S127" s="37" t="s">
        <v>458</v>
      </c>
      <c r="T127" s="37">
        <v>58</v>
      </c>
      <c r="U127" s="147" t="s">
        <v>458</v>
      </c>
      <c r="V127" s="144" t="s">
        <v>458</v>
      </c>
      <c r="W127" s="144" t="s">
        <v>458</v>
      </c>
      <c r="X127" s="144" t="s">
        <v>458</v>
      </c>
      <c r="Y127" s="146" t="s">
        <v>458</v>
      </c>
      <c r="Z127" s="355" t="s">
        <v>334</v>
      </c>
      <c r="AA127" s="259" t="s">
        <v>119</v>
      </c>
      <c r="AB127" s="259" t="s">
        <v>460</v>
      </c>
      <c r="AC127" s="155" t="s">
        <v>330</v>
      </c>
    </row>
    <row r="128" spans="1:29" ht="64" x14ac:dyDescent="0.2">
      <c r="A128" s="21">
        <v>21</v>
      </c>
      <c r="B128" s="29">
        <v>3</v>
      </c>
      <c r="C128" s="29" t="s">
        <v>87</v>
      </c>
      <c r="D128" s="117" t="s">
        <v>211</v>
      </c>
      <c r="E128" s="175" t="s">
        <v>120</v>
      </c>
      <c r="F128" s="257" t="s">
        <v>428</v>
      </c>
      <c r="G128" s="38">
        <v>58</v>
      </c>
      <c r="H128" s="97" t="s">
        <v>121</v>
      </c>
      <c r="I128" s="37" t="s">
        <v>458</v>
      </c>
      <c r="J128" s="37" t="s">
        <v>458</v>
      </c>
      <c r="K128" s="37" t="s">
        <v>458</v>
      </c>
      <c r="L128" s="37" t="s">
        <v>458</v>
      </c>
      <c r="M128" s="37" t="s">
        <v>458</v>
      </c>
      <c r="N128" s="37" t="s">
        <v>458</v>
      </c>
      <c r="O128" s="37" t="s">
        <v>458</v>
      </c>
      <c r="P128" s="37" t="s">
        <v>458</v>
      </c>
      <c r="Q128" s="37" t="s">
        <v>458</v>
      </c>
      <c r="R128" s="102">
        <v>55</v>
      </c>
      <c r="S128" s="37" t="s">
        <v>458</v>
      </c>
      <c r="T128" s="37">
        <v>58</v>
      </c>
      <c r="U128" s="147" t="s">
        <v>458</v>
      </c>
      <c r="V128" s="144" t="s">
        <v>458</v>
      </c>
      <c r="W128" s="144" t="s">
        <v>458</v>
      </c>
      <c r="X128" s="144" t="s">
        <v>458</v>
      </c>
      <c r="Y128" s="146" t="s">
        <v>458</v>
      </c>
      <c r="Z128" s="355" t="s">
        <v>334</v>
      </c>
      <c r="AA128" s="259" t="s">
        <v>119</v>
      </c>
      <c r="AB128" s="259" t="s">
        <v>460</v>
      </c>
      <c r="AC128" s="155" t="s">
        <v>330</v>
      </c>
    </row>
    <row r="129" spans="1:29" ht="64" x14ac:dyDescent="0.2">
      <c r="A129" s="21">
        <v>21</v>
      </c>
      <c r="B129" s="29">
        <v>4</v>
      </c>
      <c r="C129" s="29" t="s">
        <v>88</v>
      </c>
      <c r="D129" s="117" t="s">
        <v>211</v>
      </c>
      <c r="E129" s="175" t="s">
        <v>120</v>
      </c>
      <c r="F129" s="257" t="s">
        <v>428</v>
      </c>
      <c r="G129" s="38">
        <v>58</v>
      </c>
      <c r="H129" s="97" t="s">
        <v>121</v>
      </c>
      <c r="I129" s="37" t="s">
        <v>458</v>
      </c>
      <c r="J129" s="37" t="s">
        <v>458</v>
      </c>
      <c r="K129" s="37" t="s">
        <v>458</v>
      </c>
      <c r="L129" s="37" t="s">
        <v>458</v>
      </c>
      <c r="M129" s="37" t="s">
        <v>458</v>
      </c>
      <c r="N129" s="37" t="s">
        <v>458</v>
      </c>
      <c r="O129" s="37" t="s">
        <v>458</v>
      </c>
      <c r="P129" s="37" t="s">
        <v>458</v>
      </c>
      <c r="Q129" s="37" t="s">
        <v>458</v>
      </c>
      <c r="R129" s="102">
        <v>55</v>
      </c>
      <c r="S129" s="37" t="s">
        <v>458</v>
      </c>
      <c r="T129" s="37">
        <v>58</v>
      </c>
      <c r="U129" s="147" t="s">
        <v>458</v>
      </c>
      <c r="V129" s="144" t="s">
        <v>458</v>
      </c>
      <c r="W129" s="144" t="s">
        <v>458</v>
      </c>
      <c r="X129" s="144" t="s">
        <v>458</v>
      </c>
      <c r="Y129" s="146" t="s">
        <v>458</v>
      </c>
      <c r="Z129" s="355" t="s">
        <v>334</v>
      </c>
      <c r="AA129" s="259" t="s">
        <v>119</v>
      </c>
      <c r="AB129" s="259" t="s">
        <v>460</v>
      </c>
      <c r="AC129" s="155" t="s">
        <v>330</v>
      </c>
    </row>
    <row r="130" spans="1:29" s="17" customFormat="1" ht="64" x14ac:dyDescent="0.2">
      <c r="A130" s="23">
        <v>21</v>
      </c>
      <c r="B130" s="30">
        <v>5</v>
      </c>
      <c r="C130" s="30" t="s">
        <v>89</v>
      </c>
      <c r="D130" s="309" t="s">
        <v>211</v>
      </c>
      <c r="E130" s="176" t="s">
        <v>120</v>
      </c>
      <c r="F130" s="258" t="s">
        <v>428</v>
      </c>
      <c r="G130" s="94">
        <v>58</v>
      </c>
      <c r="H130" s="98" t="s">
        <v>121</v>
      </c>
      <c r="I130" s="36" t="s">
        <v>458</v>
      </c>
      <c r="J130" s="36" t="s">
        <v>458</v>
      </c>
      <c r="K130" s="36" t="s">
        <v>458</v>
      </c>
      <c r="L130" s="36" t="s">
        <v>458</v>
      </c>
      <c r="M130" s="36" t="s">
        <v>458</v>
      </c>
      <c r="N130" s="36" t="s">
        <v>458</v>
      </c>
      <c r="O130" s="36" t="s">
        <v>458</v>
      </c>
      <c r="P130" s="36" t="s">
        <v>458</v>
      </c>
      <c r="Q130" s="36" t="s">
        <v>458</v>
      </c>
      <c r="R130" s="103">
        <v>55</v>
      </c>
      <c r="S130" s="36" t="s">
        <v>458</v>
      </c>
      <c r="T130" s="36">
        <v>58</v>
      </c>
      <c r="U130" s="148" t="s">
        <v>458</v>
      </c>
      <c r="V130" s="145" t="s">
        <v>458</v>
      </c>
      <c r="W130" s="145" t="s">
        <v>458</v>
      </c>
      <c r="X130" s="145" t="s">
        <v>458</v>
      </c>
      <c r="Y130" s="150" t="s">
        <v>458</v>
      </c>
      <c r="Z130" s="356" t="s">
        <v>334</v>
      </c>
      <c r="AA130" s="248" t="s">
        <v>119</v>
      </c>
      <c r="AB130" s="248" t="s">
        <v>460</v>
      </c>
      <c r="AC130" s="249" t="s">
        <v>330</v>
      </c>
    </row>
    <row r="131" spans="1:29" ht="16" x14ac:dyDescent="0.2">
      <c r="A131" s="21">
        <v>24</v>
      </c>
      <c r="B131" s="29">
        <v>5</v>
      </c>
      <c r="C131" s="29" t="s">
        <v>29</v>
      </c>
      <c r="D131" s="179" t="s">
        <v>211</v>
      </c>
      <c r="E131" s="175" t="s">
        <v>120</v>
      </c>
      <c r="F131" s="259" t="s">
        <v>433</v>
      </c>
      <c r="G131" s="38">
        <v>25</v>
      </c>
      <c r="H131" s="97" t="s">
        <v>121</v>
      </c>
      <c r="I131" s="37" t="s">
        <v>458</v>
      </c>
      <c r="J131" s="37" t="s">
        <v>458</v>
      </c>
      <c r="K131" s="37" t="s">
        <v>458</v>
      </c>
      <c r="L131" s="37" t="s">
        <v>458</v>
      </c>
      <c r="M131" s="38">
        <v>7.2</v>
      </c>
      <c r="N131" s="38">
        <v>37</v>
      </c>
      <c r="O131" s="37" t="s">
        <v>458</v>
      </c>
      <c r="P131" s="37" t="s">
        <v>458</v>
      </c>
      <c r="Q131" s="37" t="s">
        <v>458</v>
      </c>
      <c r="R131" s="37" t="s">
        <v>458</v>
      </c>
      <c r="S131" s="37" t="s">
        <v>458</v>
      </c>
      <c r="T131" s="37" t="s">
        <v>458</v>
      </c>
      <c r="U131" s="38">
        <v>0.13</v>
      </c>
      <c r="V131" s="37" t="s">
        <v>458</v>
      </c>
      <c r="W131" s="37" t="s">
        <v>458</v>
      </c>
      <c r="X131" s="37" t="s">
        <v>458</v>
      </c>
      <c r="Y131" s="38" t="s">
        <v>458</v>
      </c>
      <c r="Z131" s="155" t="s">
        <v>348</v>
      </c>
      <c r="AA131" s="259" t="s">
        <v>145</v>
      </c>
      <c r="AB131" s="259" t="s">
        <v>460</v>
      </c>
      <c r="AC131" s="37" t="s">
        <v>343</v>
      </c>
    </row>
    <row r="132" spans="1:29" ht="16" x14ac:dyDescent="0.2">
      <c r="A132" s="21">
        <v>24</v>
      </c>
      <c r="B132" s="29">
        <v>6</v>
      </c>
      <c r="C132" s="29" t="s">
        <v>90</v>
      </c>
      <c r="D132" s="179" t="s">
        <v>211</v>
      </c>
      <c r="E132" s="175" t="s">
        <v>120</v>
      </c>
      <c r="F132" s="259" t="s">
        <v>433</v>
      </c>
      <c r="G132" s="38">
        <v>25</v>
      </c>
      <c r="H132" s="97" t="s">
        <v>121</v>
      </c>
      <c r="I132" s="37" t="s">
        <v>458</v>
      </c>
      <c r="J132" s="37" t="s">
        <v>458</v>
      </c>
      <c r="K132" s="37" t="s">
        <v>458</v>
      </c>
      <c r="L132" s="37" t="s">
        <v>458</v>
      </c>
      <c r="M132" s="38">
        <v>7.2</v>
      </c>
      <c r="N132" s="38">
        <v>37</v>
      </c>
      <c r="O132" s="37" t="s">
        <v>458</v>
      </c>
      <c r="P132" s="37" t="s">
        <v>458</v>
      </c>
      <c r="Q132" s="37" t="s">
        <v>458</v>
      </c>
      <c r="R132" s="37" t="s">
        <v>458</v>
      </c>
      <c r="S132" s="37" t="s">
        <v>458</v>
      </c>
      <c r="T132" s="37" t="s">
        <v>458</v>
      </c>
      <c r="U132" s="38">
        <v>0.13</v>
      </c>
      <c r="V132" s="37" t="s">
        <v>458</v>
      </c>
      <c r="W132" s="37" t="s">
        <v>458</v>
      </c>
      <c r="X132" s="37" t="s">
        <v>458</v>
      </c>
      <c r="Y132" s="38" t="s">
        <v>458</v>
      </c>
      <c r="Z132" s="155" t="s">
        <v>348</v>
      </c>
      <c r="AA132" s="259" t="s">
        <v>145</v>
      </c>
      <c r="AB132" s="259" t="s">
        <v>460</v>
      </c>
      <c r="AC132" s="37" t="s">
        <v>343</v>
      </c>
    </row>
    <row r="133" spans="1:29" ht="16" x14ac:dyDescent="0.2">
      <c r="A133" s="21">
        <v>24</v>
      </c>
      <c r="B133" s="29">
        <v>7</v>
      </c>
      <c r="C133" s="29" t="s">
        <v>91</v>
      </c>
      <c r="D133" s="179" t="s">
        <v>211</v>
      </c>
      <c r="E133" s="175" t="s">
        <v>120</v>
      </c>
      <c r="F133" s="259" t="s">
        <v>433</v>
      </c>
      <c r="G133" s="38">
        <v>25</v>
      </c>
      <c r="H133" s="97" t="s">
        <v>121</v>
      </c>
      <c r="I133" s="37" t="s">
        <v>458</v>
      </c>
      <c r="J133" s="37" t="s">
        <v>458</v>
      </c>
      <c r="K133" s="37" t="s">
        <v>458</v>
      </c>
      <c r="L133" s="37" t="s">
        <v>458</v>
      </c>
      <c r="M133" s="38">
        <v>7.2</v>
      </c>
      <c r="N133" s="38">
        <v>37</v>
      </c>
      <c r="O133" s="37" t="s">
        <v>458</v>
      </c>
      <c r="P133" s="37" t="s">
        <v>458</v>
      </c>
      <c r="Q133" s="37" t="s">
        <v>458</v>
      </c>
      <c r="R133" s="37" t="s">
        <v>458</v>
      </c>
      <c r="S133" s="37" t="s">
        <v>458</v>
      </c>
      <c r="T133" s="37" t="s">
        <v>458</v>
      </c>
      <c r="U133" s="38">
        <v>0.13</v>
      </c>
      <c r="V133" s="37" t="s">
        <v>458</v>
      </c>
      <c r="W133" s="37" t="s">
        <v>458</v>
      </c>
      <c r="X133" s="37" t="s">
        <v>458</v>
      </c>
      <c r="Y133" s="38" t="s">
        <v>458</v>
      </c>
      <c r="Z133" s="155" t="s">
        <v>348</v>
      </c>
      <c r="AA133" s="259" t="s">
        <v>145</v>
      </c>
      <c r="AB133" s="259" t="s">
        <v>460</v>
      </c>
      <c r="AC133" s="37" t="s">
        <v>343</v>
      </c>
    </row>
    <row r="134" spans="1:29" s="17" customFormat="1" ht="16" x14ac:dyDescent="0.2">
      <c r="A134" s="23">
        <v>24</v>
      </c>
      <c r="B134" s="30">
        <v>8</v>
      </c>
      <c r="C134" s="30" t="s">
        <v>92</v>
      </c>
      <c r="D134" s="180" t="s">
        <v>211</v>
      </c>
      <c r="E134" s="176" t="s">
        <v>120</v>
      </c>
      <c r="F134" s="248" t="s">
        <v>433</v>
      </c>
      <c r="G134" s="94">
        <v>25</v>
      </c>
      <c r="H134" s="98" t="s">
        <v>121</v>
      </c>
      <c r="I134" s="36" t="s">
        <v>458</v>
      </c>
      <c r="J134" s="36" t="s">
        <v>458</v>
      </c>
      <c r="K134" s="36" t="s">
        <v>458</v>
      </c>
      <c r="L134" s="36" t="s">
        <v>458</v>
      </c>
      <c r="M134" s="94">
        <v>7.2</v>
      </c>
      <c r="N134" s="94">
        <v>37</v>
      </c>
      <c r="O134" s="36" t="s">
        <v>458</v>
      </c>
      <c r="P134" s="36" t="s">
        <v>458</v>
      </c>
      <c r="Q134" s="36" t="s">
        <v>458</v>
      </c>
      <c r="R134" s="36" t="s">
        <v>458</v>
      </c>
      <c r="S134" s="36" t="s">
        <v>458</v>
      </c>
      <c r="T134" s="36" t="s">
        <v>458</v>
      </c>
      <c r="U134" s="94">
        <v>0.13</v>
      </c>
      <c r="V134" s="36" t="s">
        <v>458</v>
      </c>
      <c r="W134" s="36" t="s">
        <v>458</v>
      </c>
      <c r="X134" s="36" t="s">
        <v>458</v>
      </c>
      <c r="Y134" s="94" t="s">
        <v>458</v>
      </c>
      <c r="Z134" s="249" t="s">
        <v>348</v>
      </c>
      <c r="AA134" s="248" t="s">
        <v>145</v>
      </c>
      <c r="AB134" s="248" t="s">
        <v>460</v>
      </c>
      <c r="AC134" s="36" t="s">
        <v>343</v>
      </c>
    </row>
  </sheetData>
  <phoneticPr fontId="34" type="noConversion"/>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B86EC-2E6A-48CC-909F-2696DDB7C0CA}">
  <sheetPr>
    <tabColor rgb="FFFF0000"/>
  </sheetPr>
  <dimension ref="A1:CV178"/>
  <sheetViews>
    <sheetView zoomScale="130" zoomScaleNormal="130" workbookViewId="0">
      <pane ySplit="1" topLeftCell="A104" activePane="bottomLeft" state="frozen"/>
      <selection activeCell="E11" sqref="E11"/>
      <selection pane="bottomLeft" activeCell="F144" sqref="F144"/>
    </sheetView>
  </sheetViews>
  <sheetFormatPr baseColWidth="10" defaultColWidth="8.83203125" defaultRowHeight="15" x14ac:dyDescent="0.2"/>
  <cols>
    <col min="1" max="1" width="9.1640625" style="21"/>
    <col min="2" max="2" width="18.5" style="29" customWidth="1"/>
    <col min="3" max="3" width="49.6640625" style="29" customWidth="1"/>
    <col min="6" max="6" width="8.5" customWidth="1"/>
    <col min="7" max="7" width="9.6640625" customWidth="1"/>
    <col min="8" max="8" width="12.6640625" customWidth="1"/>
  </cols>
  <sheetData>
    <row r="1" spans="1:60" s="2" customFormat="1" x14ac:dyDescent="0.2">
      <c r="A1" s="66" t="s">
        <v>113</v>
      </c>
      <c r="B1" s="120" t="s">
        <v>97</v>
      </c>
      <c r="C1" s="120" t="s">
        <v>397</v>
      </c>
      <c r="D1" s="2" t="s">
        <v>468</v>
      </c>
    </row>
    <row r="2" spans="1:60" s="3" customFormat="1" x14ac:dyDescent="0.2">
      <c r="A2" s="21">
        <v>4</v>
      </c>
      <c r="B2" s="29">
        <v>5</v>
      </c>
      <c r="C2" s="29" t="s">
        <v>30</v>
      </c>
      <c r="D2" s="332">
        <v>2.6951100000000001</v>
      </c>
      <c r="E2" s="333">
        <v>4.6122100000000001</v>
      </c>
      <c r="F2" s="333">
        <v>6.6847500000000002</v>
      </c>
      <c r="G2" s="333">
        <v>9.5862999999999996</v>
      </c>
      <c r="H2" s="333">
        <v>11.76247</v>
      </c>
      <c r="I2" s="333">
        <v>13.47231</v>
      </c>
      <c r="J2" s="334">
        <v>22.902360000000002</v>
      </c>
      <c r="K2" s="5" t="s">
        <v>458</v>
      </c>
      <c r="L2" s="5" t="s">
        <v>458</v>
      </c>
      <c r="M2" s="5" t="s">
        <v>458</v>
      </c>
      <c r="N2" s="5" t="s">
        <v>458</v>
      </c>
      <c r="O2" s="5" t="s">
        <v>458</v>
      </c>
      <c r="P2" s="5" t="s">
        <v>458</v>
      </c>
      <c r="Q2" s="5" t="s">
        <v>458</v>
      </c>
      <c r="R2" s="5" t="s">
        <v>458</v>
      </c>
      <c r="S2" s="5" t="s">
        <v>458</v>
      </c>
      <c r="T2" s="5" t="s">
        <v>458</v>
      </c>
      <c r="U2" s="5" t="s">
        <v>458</v>
      </c>
      <c r="V2" s="5" t="s">
        <v>458</v>
      </c>
      <c r="W2" s="5" t="s">
        <v>458</v>
      </c>
      <c r="X2" s="5" t="s">
        <v>458</v>
      </c>
      <c r="Y2" s="5" t="s">
        <v>458</v>
      </c>
      <c r="Z2" s="5" t="s">
        <v>458</v>
      </c>
      <c r="AA2" s="5" t="s">
        <v>458</v>
      </c>
      <c r="AB2" s="5" t="s">
        <v>458</v>
      </c>
      <c r="AC2" s="5" t="s">
        <v>458</v>
      </c>
      <c r="AD2" s="5" t="s">
        <v>458</v>
      </c>
      <c r="AE2" s="5" t="s">
        <v>458</v>
      </c>
      <c r="AF2" s="5" t="s">
        <v>458</v>
      </c>
      <c r="AG2" s="5" t="s">
        <v>458</v>
      </c>
      <c r="AH2" s="5" t="s">
        <v>458</v>
      </c>
      <c r="AI2" s="5" t="s">
        <v>458</v>
      </c>
      <c r="AJ2" s="5" t="s">
        <v>458</v>
      </c>
      <c r="AK2" s="5" t="s">
        <v>458</v>
      </c>
      <c r="AL2" s="5" t="s">
        <v>458</v>
      </c>
      <c r="AM2" s="5" t="s">
        <v>458</v>
      </c>
      <c r="AN2" s="5" t="s">
        <v>458</v>
      </c>
      <c r="AO2" s="5" t="s">
        <v>458</v>
      </c>
      <c r="AP2" s="5" t="s">
        <v>458</v>
      </c>
      <c r="AQ2" s="5" t="s">
        <v>458</v>
      </c>
      <c r="AR2" s="5" t="s">
        <v>458</v>
      </c>
      <c r="AS2" s="5" t="s">
        <v>458</v>
      </c>
      <c r="AT2" s="5" t="s">
        <v>458</v>
      </c>
      <c r="AU2" s="5" t="s">
        <v>458</v>
      </c>
      <c r="AV2" s="5" t="s">
        <v>458</v>
      </c>
      <c r="AW2" s="5" t="s">
        <v>458</v>
      </c>
      <c r="AX2" s="5" t="s">
        <v>458</v>
      </c>
      <c r="AY2" s="5" t="s">
        <v>458</v>
      </c>
      <c r="AZ2" s="5" t="s">
        <v>458</v>
      </c>
      <c r="BA2" s="5" t="s">
        <v>458</v>
      </c>
      <c r="BB2" s="5" t="s">
        <v>458</v>
      </c>
      <c r="BC2" s="5" t="s">
        <v>458</v>
      </c>
      <c r="BD2" s="5" t="s">
        <v>458</v>
      </c>
      <c r="BE2" s="5"/>
    </row>
    <row r="3" spans="1:60" s="47" customFormat="1" x14ac:dyDescent="0.2">
      <c r="A3" s="23">
        <v>4</v>
      </c>
      <c r="B3" s="30">
        <v>6</v>
      </c>
      <c r="C3" s="30" t="s">
        <v>31</v>
      </c>
      <c r="D3" s="335">
        <v>0.67437999999999998</v>
      </c>
      <c r="E3" s="315">
        <v>1.34796</v>
      </c>
      <c r="F3" s="315">
        <v>2.1251600000000002</v>
      </c>
      <c r="G3" s="315">
        <v>3.8868200000000002</v>
      </c>
      <c r="H3" s="315">
        <v>6.0629900000000001</v>
      </c>
      <c r="I3" s="315">
        <v>6.7365599999999999</v>
      </c>
      <c r="J3" s="336">
        <v>10.20806</v>
      </c>
      <c r="K3" s="19" t="s">
        <v>458</v>
      </c>
      <c r="L3" s="19" t="s">
        <v>458</v>
      </c>
      <c r="M3" s="19" t="s">
        <v>458</v>
      </c>
      <c r="N3" s="19" t="s">
        <v>458</v>
      </c>
      <c r="O3" s="19" t="s">
        <v>458</v>
      </c>
      <c r="P3" s="19" t="s">
        <v>458</v>
      </c>
      <c r="Q3" s="19" t="s">
        <v>458</v>
      </c>
      <c r="R3" s="19" t="s">
        <v>458</v>
      </c>
      <c r="S3" s="19" t="s">
        <v>458</v>
      </c>
      <c r="T3" s="19" t="s">
        <v>458</v>
      </c>
      <c r="U3" s="19" t="s">
        <v>458</v>
      </c>
      <c r="V3" s="19" t="s">
        <v>458</v>
      </c>
      <c r="W3" s="19" t="s">
        <v>458</v>
      </c>
      <c r="X3" s="19" t="s">
        <v>458</v>
      </c>
      <c r="Y3" s="19" t="s">
        <v>458</v>
      </c>
      <c r="Z3" s="19" t="s">
        <v>458</v>
      </c>
      <c r="AA3" s="19" t="s">
        <v>458</v>
      </c>
      <c r="AB3" s="19" t="s">
        <v>458</v>
      </c>
      <c r="AC3" s="19" t="s">
        <v>458</v>
      </c>
      <c r="AD3" s="19" t="s">
        <v>458</v>
      </c>
      <c r="AE3" s="19" t="s">
        <v>458</v>
      </c>
      <c r="AF3" s="19" t="s">
        <v>458</v>
      </c>
      <c r="AG3" s="19" t="s">
        <v>458</v>
      </c>
      <c r="AH3" s="19" t="s">
        <v>458</v>
      </c>
      <c r="AI3" s="19" t="s">
        <v>458</v>
      </c>
      <c r="AJ3" s="19" t="s">
        <v>458</v>
      </c>
      <c r="AK3" s="19" t="s">
        <v>458</v>
      </c>
      <c r="AL3" s="19" t="s">
        <v>458</v>
      </c>
      <c r="AM3" s="19" t="s">
        <v>458</v>
      </c>
      <c r="AN3" s="19" t="s">
        <v>458</v>
      </c>
      <c r="AO3" s="19" t="s">
        <v>458</v>
      </c>
      <c r="AP3" s="19" t="s">
        <v>458</v>
      </c>
      <c r="AQ3" s="19" t="s">
        <v>458</v>
      </c>
      <c r="AR3" s="19" t="s">
        <v>458</v>
      </c>
      <c r="AS3" s="19" t="s">
        <v>458</v>
      </c>
      <c r="AT3" s="19" t="s">
        <v>458</v>
      </c>
      <c r="AU3" s="19" t="s">
        <v>458</v>
      </c>
      <c r="AV3" s="19" t="s">
        <v>458</v>
      </c>
      <c r="AW3" s="19" t="s">
        <v>458</v>
      </c>
      <c r="AX3" s="19" t="s">
        <v>458</v>
      </c>
      <c r="AY3" s="19" t="s">
        <v>458</v>
      </c>
      <c r="AZ3" s="19" t="s">
        <v>458</v>
      </c>
      <c r="BA3" s="19" t="s">
        <v>458</v>
      </c>
      <c r="BB3" s="19" t="s">
        <v>458</v>
      </c>
      <c r="BC3" s="19" t="s">
        <v>458</v>
      </c>
      <c r="BD3" s="19" t="s">
        <v>458</v>
      </c>
      <c r="BE3" s="19"/>
    </row>
    <row r="4" spans="1:60" x14ac:dyDescent="0.2">
      <c r="A4" s="21">
        <v>5</v>
      </c>
      <c r="B4" s="29">
        <v>1</v>
      </c>
      <c r="C4" s="337" t="s">
        <v>161</v>
      </c>
      <c r="D4" s="338">
        <v>0.57803000000000004</v>
      </c>
      <c r="E4" s="314">
        <v>4.6242799999999997</v>
      </c>
      <c r="F4" s="314">
        <v>9.2485499999999998</v>
      </c>
      <c r="G4" s="339">
        <v>10.40462</v>
      </c>
      <c r="H4" s="314" t="s">
        <v>458</v>
      </c>
      <c r="I4" s="314" t="s">
        <v>458</v>
      </c>
      <c r="J4" s="314" t="s">
        <v>458</v>
      </c>
      <c r="K4" s="314" t="s">
        <v>458</v>
      </c>
      <c r="L4" s="314" t="s">
        <v>458</v>
      </c>
      <c r="M4" s="314" t="s">
        <v>458</v>
      </c>
      <c r="N4" s="314" t="s">
        <v>458</v>
      </c>
      <c r="O4" s="314" t="s">
        <v>458</v>
      </c>
      <c r="P4" s="5" t="s">
        <v>458</v>
      </c>
      <c r="Q4" s="5" t="s">
        <v>458</v>
      </c>
      <c r="R4" s="5" t="s">
        <v>458</v>
      </c>
      <c r="S4" s="5" t="s">
        <v>458</v>
      </c>
      <c r="T4" s="5" t="s">
        <v>458</v>
      </c>
      <c r="U4" s="5" t="s">
        <v>458</v>
      </c>
      <c r="V4" s="5" t="s">
        <v>458</v>
      </c>
      <c r="W4" s="5" t="s">
        <v>458</v>
      </c>
      <c r="X4" s="5" t="s">
        <v>458</v>
      </c>
      <c r="Y4" s="5" t="s">
        <v>458</v>
      </c>
      <c r="Z4" s="5" t="s">
        <v>458</v>
      </c>
      <c r="AA4" s="5" t="s">
        <v>458</v>
      </c>
      <c r="AB4" s="5" t="s">
        <v>458</v>
      </c>
      <c r="AC4" s="5" t="s">
        <v>458</v>
      </c>
      <c r="AD4" s="5" t="s">
        <v>458</v>
      </c>
      <c r="AE4" s="5" t="s">
        <v>458</v>
      </c>
      <c r="AF4" s="5" t="s">
        <v>458</v>
      </c>
      <c r="AG4" s="5" t="s">
        <v>458</v>
      </c>
      <c r="AH4" s="5" t="s">
        <v>458</v>
      </c>
      <c r="AI4" s="5" t="s">
        <v>458</v>
      </c>
      <c r="AJ4" s="5" t="s">
        <v>458</v>
      </c>
      <c r="AK4" s="5" t="s">
        <v>458</v>
      </c>
      <c r="AL4" s="5" t="s">
        <v>458</v>
      </c>
      <c r="AM4" s="5" t="s">
        <v>458</v>
      </c>
      <c r="AN4" s="5" t="s">
        <v>458</v>
      </c>
      <c r="AO4" s="5" t="s">
        <v>458</v>
      </c>
      <c r="AP4" s="5" t="s">
        <v>458</v>
      </c>
      <c r="AQ4" s="5" t="s">
        <v>458</v>
      </c>
      <c r="AR4" s="5" t="s">
        <v>458</v>
      </c>
      <c r="AS4" s="5" t="s">
        <v>458</v>
      </c>
      <c r="AT4" s="5" t="s">
        <v>458</v>
      </c>
      <c r="AU4" s="5" t="s">
        <v>458</v>
      </c>
      <c r="AV4" s="5" t="s">
        <v>458</v>
      </c>
      <c r="AW4" s="5" t="s">
        <v>458</v>
      </c>
      <c r="AX4" s="5" t="s">
        <v>458</v>
      </c>
      <c r="AY4" s="5" t="s">
        <v>458</v>
      </c>
      <c r="AZ4" s="5" t="s">
        <v>458</v>
      </c>
      <c r="BA4" s="5" t="s">
        <v>458</v>
      </c>
      <c r="BB4" s="5" t="s">
        <v>458</v>
      </c>
      <c r="BC4" s="5" t="s">
        <v>458</v>
      </c>
      <c r="BD4" s="5" t="s">
        <v>458</v>
      </c>
      <c r="BG4" s="3"/>
      <c r="BH4" s="3"/>
    </row>
    <row r="5" spans="1:60" x14ac:dyDescent="0.2">
      <c r="A5" s="21">
        <v>5</v>
      </c>
      <c r="B5" s="29">
        <v>2</v>
      </c>
      <c r="C5" s="337" t="s">
        <v>41</v>
      </c>
      <c r="D5" s="338">
        <v>0.86704999999999999</v>
      </c>
      <c r="E5" s="314">
        <v>5.7803500000000003</v>
      </c>
      <c r="F5" s="314">
        <v>10.40462</v>
      </c>
      <c r="G5" s="339">
        <v>12.42775</v>
      </c>
      <c r="H5" s="314" t="s">
        <v>458</v>
      </c>
      <c r="I5" s="314" t="s">
        <v>458</v>
      </c>
      <c r="J5" s="314" t="s">
        <v>458</v>
      </c>
      <c r="K5" s="314" t="s">
        <v>458</v>
      </c>
      <c r="L5" s="314" t="s">
        <v>458</v>
      </c>
      <c r="M5" s="314" t="s">
        <v>458</v>
      </c>
      <c r="N5" s="314" t="s">
        <v>458</v>
      </c>
      <c r="O5" s="314" t="s">
        <v>458</v>
      </c>
      <c r="P5" s="5" t="s">
        <v>458</v>
      </c>
      <c r="Q5" s="5" t="s">
        <v>458</v>
      </c>
      <c r="R5" s="5" t="s">
        <v>458</v>
      </c>
      <c r="S5" s="5" t="s">
        <v>458</v>
      </c>
      <c r="T5" s="5" t="s">
        <v>458</v>
      </c>
      <c r="U5" s="5" t="s">
        <v>458</v>
      </c>
      <c r="V5" s="5" t="s">
        <v>458</v>
      </c>
      <c r="W5" s="5" t="s">
        <v>458</v>
      </c>
      <c r="X5" s="5" t="s">
        <v>458</v>
      </c>
      <c r="Y5" s="5" t="s">
        <v>458</v>
      </c>
      <c r="Z5" s="5" t="s">
        <v>458</v>
      </c>
      <c r="AA5" s="5" t="s">
        <v>458</v>
      </c>
      <c r="AB5" s="5" t="s">
        <v>458</v>
      </c>
      <c r="AC5" s="5" t="s">
        <v>458</v>
      </c>
      <c r="AD5" s="5" t="s">
        <v>458</v>
      </c>
      <c r="AE5" s="5" t="s">
        <v>458</v>
      </c>
      <c r="AF5" s="5" t="s">
        <v>458</v>
      </c>
      <c r="AG5" s="5" t="s">
        <v>458</v>
      </c>
      <c r="AH5" s="5" t="s">
        <v>458</v>
      </c>
      <c r="AI5" s="5" t="s">
        <v>458</v>
      </c>
      <c r="AJ5" s="5" t="s">
        <v>458</v>
      </c>
      <c r="AK5" s="5" t="s">
        <v>458</v>
      </c>
      <c r="AL5" s="5" t="s">
        <v>458</v>
      </c>
      <c r="AM5" s="5" t="s">
        <v>458</v>
      </c>
      <c r="AN5" s="5" t="s">
        <v>458</v>
      </c>
      <c r="AO5" s="5" t="s">
        <v>458</v>
      </c>
      <c r="AP5" s="5" t="s">
        <v>458</v>
      </c>
      <c r="AQ5" s="5" t="s">
        <v>458</v>
      </c>
      <c r="AR5" s="5" t="s">
        <v>458</v>
      </c>
      <c r="AS5" s="5" t="s">
        <v>458</v>
      </c>
      <c r="AT5" s="5" t="s">
        <v>458</v>
      </c>
      <c r="AU5" s="5" t="s">
        <v>458</v>
      </c>
      <c r="AV5" s="5" t="s">
        <v>458</v>
      </c>
      <c r="AW5" s="5" t="s">
        <v>458</v>
      </c>
      <c r="AX5" s="5" t="s">
        <v>458</v>
      </c>
      <c r="AY5" s="5" t="s">
        <v>458</v>
      </c>
      <c r="AZ5" s="5" t="s">
        <v>458</v>
      </c>
      <c r="BA5" s="5" t="s">
        <v>458</v>
      </c>
      <c r="BB5" s="5" t="s">
        <v>458</v>
      </c>
      <c r="BC5" s="5" t="s">
        <v>458</v>
      </c>
      <c r="BD5" s="5" t="s">
        <v>458</v>
      </c>
      <c r="BG5" s="3"/>
      <c r="BH5" s="3"/>
    </row>
    <row r="6" spans="1:60" s="18" customFormat="1" x14ac:dyDescent="0.2">
      <c r="A6" s="21">
        <v>5</v>
      </c>
      <c r="B6" s="29">
        <v>3</v>
      </c>
      <c r="C6" s="337" t="s">
        <v>41</v>
      </c>
      <c r="D6" s="338">
        <v>2.6011600000000001</v>
      </c>
      <c r="E6" s="314">
        <v>8.0924899999999997</v>
      </c>
      <c r="F6" s="314">
        <v>13.87283</v>
      </c>
      <c r="G6" s="339">
        <v>15.895949999999999</v>
      </c>
      <c r="H6" s="314" t="s">
        <v>458</v>
      </c>
      <c r="I6" s="314" t="s">
        <v>458</v>
      </c>
      <c r="J6" s="314" t="s">
        <v>458</v>
      </c>
      <c r="K6" s="314" t="s">
        <v>458</v>
      </c>
      <c r="L6" s="314" t="s">
        <v>458</v>
      </c>
      <c r="M6" s="314" t="s">
        <v>458</v>
      </c>
      <c r="N6" s="314" t="s">
        <v>458</v>
      </c>
      <c r="O6" s="314" t="s">
        <v>458</v>
      </c>
      <c r="P6" s="5" t="s">
        <v>458</v>
      </c>
      <c r="Q6" s="5" t="s">
        <v>458</v>
      </c>
      <c r="R6" s="5" t="s">
        <v>458</v>
      </c>
      <c r="S6" s="5" t="s">
        <v>458</v>
      </c>
      <c r="T6" s="5" t="s">
        <v>458</v>
      </c>
      <c r="U6" s="18" t="s">
        <v>458</v>
      </c>
      <c r="V6" s="18" t="s">
        <v>458</v>
      </c>
      <c r="W6" s="18" t="s">
        <v>458</v>
      </c>
      <c r="X6" s="18" t="s">
        <v>458</v>
      </c>
      <c r="Y6" s="18" t="s">
        <v>458</v>
      </c>
      <c r="Z6" s="18" t="s">
        <v>458</v>
      </c>
      <c r="AA6" s="18" t="s">
        <v>458</v>
      </c>
      <c r="AB6" s="18" t="s">
        <v>458</v>
      </c>
      <c r="AC6" s="18" t="s">
        <v>458</v>
      </c>
      <c r="AD6" s="18" t="s">
        <v>458</v>
      </c>
      <c r="AE6" s="18" t="s">
        <v>458</v>
      </c>
      <c r="AF6" s="18" t="s">
        <v>458</v>
      </c>
      <c r="AG6" s="18" t="s">
        <v>458</v>
      </c>
      <c r="AH6" s="18" t="s">
        <v>458</v>
      </c>
      <c r="AI6" s="18" t="s">
        <v>458</v>
      </c>
      <c r="AJ6" s="18" t="s">
        <v>458</v>
      </c>
      <c r="AK6" s="18" t="s">
        <v>458</v>
      </c>
      <c r="AL6" s="18" t="s">
        <v>458</v>
      </c>
      <c r="AM6" s="18" t="s">
        <v>458</v>
      </c>
      <c r="AN6" s="18" t="s">
        <v>458</v>
      </c>
      <c r="AO6" s="18" t="s">
        <v>458</v>
      </c>
      <c r="AP6" s="18" t="s">
        <v>458</v>
      </c>
      <c r="AQ6" s="18" t="s">
        <v>458</v>
      </c>
      <c r="AR6" s="18" t="s">
        <v>458</v>
      </c>
      <c r="AS6" s="18" t="s">
        <v>458</v>
      </c>
      <c r="AT6" s="18" t="s">
        <v>458</v>
      </c>
      <c r="AU6" s="18" t="s">
        <v>458</v>
      </c>
      <c r="AV6" s="18" t="s">
        <v>458</v>
      </c>
      <c r="AW6" s="18" t="s">
        <v>458</v>
      </c>
      <c r="AX6" s="18" t="s">
        <v>458</v>
      </c>
      <c r="AY6" s="18" t="s">
        <v>458</v>
      </c>
      <c r="AZ6" s="18" t="s">
        <v>458</v>
      </c>
      <c r="BA6" s="18" t="s">
        <v>458</v>
      </c>
      <c r="BB6" s="18" t="s">
        <v>458</v>
      </c>
      <c r="BC6" s="18" t="s">
        <v>458</v>
      </c>
      <c r="BD6" s="18" t="s">
        <v>458</v>
      </c>
      <c r="BG6" s="3"/>
      <c r="BH6" s="3"/>
    </row>
    <row r="7" spans="1:60" s="20" customFormat="1" x14ac:dyDescent="0.2">
      <c r="A7" s="8">
        <v>5</v>
      </c>
      <c r="B7" s="8">
        <v>4</v>
      </c>
      <c r="C7" s="8" t="s">
        <v>41</v>
      </c>
      <c r="D7" s="338">
        <v>3.1791900000000002</v>
      </c>
      <c r="E7" s="314">
        <v>13.2948</v>
      </c>
      <c r="F7" s="314">
        <v>21.676300000000001</v>
      </c>
      <c r="G7" s="339">
        <v>24.566469999999999</v>
      </c>
      <c r="H7" s="314" t="s">
        <v>458</v>
      </c>
      <c r="I7" s="314" t="s">
        <v>458</v>
      </c>
      <c r="J7" s="314" t="s">
        <v>458</v>
      </c>
      <c r="K7" s="314" t="s">
        <v>458</v>
      </c>
      <c r="L7" s="314" t="s">
        <v>458</v>
      </c>
      <c r="M7" s="314" t="s">
        <v>458</v>
      </c>
      <c r="N7" s="314" t="s">
        <v>458</v>
      </c>
      <c r="O7" s="314" t="s">
        <v>458</v>
      </c>
      <c r="P7" s="5" t="s">
        <v>458</v>
      </c>
      <c r="Q7" s="5" t="s">
        <v>458</v>
      </c>
      <c r="R7" s="5" t="s">
        <v>458</v>
      </c>
      <c r="S7" s="5" t="s">
        <v>458</v>
      </c>
      <c r="T7" s="5" t="s">
        <v>458</v>
      </c>
      <c r="U7" s="20" t="s">
        <v>458</v>
      </c>
      <c r="V7" s="20" t="s">
        <v>458</v>
      </c>
      <c r="W7" s="20" t="s">
        <v>458</v>
      </c>
      <c r="X7" s="20" t="s">
        <v>458</v>
      </c>
      <c r="Y7" s="20" t="s">
        <v>458</v>
      </c>
      <c r="Z7" s="20" t="s">
        <v>458</v>
      </c>
      <c r="AA7" s="20" t="s">
        <v>458</v>
      </c>
      <c r="AB7" s="20" t="s">
        <v>458</v>
      </c>
      <c r="AC7" s="20" t="s">
        <v>458</v>
      </c>
      <c r="AD7" s="20" t="s">
        <v>458</v>
      </c>
      <c r="AE7" s="20" t="s">
        <v>458</v>
      </c>
      <c r="AF7" s="20" t="s">
        <v>458</v>
      </c>
      <c r="AG7" s="20" t="s">
        <v>458</v>
      </c>
      <c r="AH7" s="20" t="s">
        <v>458</v>
      </c>
      <c r="AI7" s="20" t="s">
        <v>458</v>
      </c>
      <c r="AJ7" s="20" t="s">
        <v>458</v>
      </c>
      <c r="AK7" s="20" t="s">
        <v>458</v>
      </c>
      <c r="AL7" s="20" t="s">
        <v>458</v>
      </c>
      <c r="AM7" s="20" t="s">
        <v>458</v>
      </c>
      <c r="AN7" s="20" t="s">
        <v>458</v>
      </c>
      <c r="AO7" s="20" t="s">
        <v>458</v>
      </c>
      <c r="AP7" s="20" t="s">
        <v>458</v>
      </c>
      <c r="AQ7" s="20" t="s">
        <v>458</v>
      </c>
      <c r="AR7" s="20" t="s">
        <v>458</v>
      </c>
      <c r="AS7" s="20" t="s">
        <v>458</v>
      </c>
      <c r="AT7" s="20" t="s">
        <v>458</v>
      </c>
      <c r="AU7" s="20" t="s">
        <v>458</v>
      </c>
      <c r="AV7" s="20" t="s">
        <v>458</v>
      </c>
      <c r="AW7" s="20" t="s">
        <v>458</v>
      </c>
      <c r="AX7" s="20" t="s">
        <v>458</v>
      </c>
      <c r="AY7" s="20" t="s">
        <v>458</v>
      </c>
      <c r="AZ7" s="20" t="s">
        <v>458</v>
      </c>
      <c r="BA7" s="20" t="s">
        <v>458</v>
      </c>
      <c r="BB7" s="20" t="s">
        <v>458</v>
      </c>
      <c r="BC7" s="20" t="s">
        <v>458</v>
      </c>
      <c r="BD7" s="20" t="s">
        <v>458</v>
      </c>
      <c r="BG7" s="3"/>
      <c r="BH7" s="3"/>
    </row>
    <row r="8" spans="1:60" x14ac:dyDescent="0.2">
      <c r="A8" s="21">
        <v>5</v>
      </c>
      <c r="B8" s="29">
        <v>5</v>
      </c>
      <c r="C8" s="337" t="s">
        <v>41</v>
      </c>
      <c r="D8" s="338">
        <v>4.6242799999999997</v>
      </c>
      <c r="E8" s="314">
        <v>13.583819999999999</v>
      </c>
      <c r="F8" s="314">
        <v>38.150289999999998</v>
      </c>
      <c r="G8" s="339">
        <v>47.976880000000001</v>
      </c>
      <c r="H8" s="314" t="s">
        <v>458</v>
      </c>
      <c r="I8" s="314" t="s">
        <v>458</v>
      </c>
      <c r="J8" s="314" t="s">
        <v>458</v>
      </c>
      <c r="K8" s="314" t="s">
        <v>458</v>
      </c>
      <c r="L8" s="314" t="s">
        <v>458</v>
      </c>
      <c r="M8" s="314" t="s">
        <v>458</v>
      </c>
      <c r="N8" s="314" t="s">
        <v>458</v>
      </c>
      <c r="O8" s="314" t="s">
        <v>458</v>
      </c>
      <c r="P8" s="5" t="s">
        <v>458</v>
      </c>
      <c r="Q8" s="5" t="s">
        <v>458</v>
      </c>
      <c r="R8" s="5" t="s">
        <v>458</v>
      </c>
      <c r="S8" s="5" t="s">
        <v>458</v>
      </c>
      <c r="T8" s="5" t="s">
        <v>458</v>
      </c>
      <c r="U8" s="5" t="s">
        <v>458</v>
      </c>
      <c r="V8" s="5" t="s">
        <v>458</v>
      </c>
      <c r="W8" s="5" t="s">
        <v>458</v>
      </c>
      <c r="X8" s="5" t="s">
        <v>458</v>
      </c>
      <c r="Y8" s="5" t="s">
        <v>458</v>
      </c>
      <c r="Z8" s="5" t="s">
        <v>458</v>
      </c>
      <c r="AA8" s="5" t="s">
        <v>458</v>
      </c>
      <c r="AB8" s="5" t="s">
        <v>458</v>
      </c>
      <c r="AC8" s="5" t="s">
        <v>458</v>
      </c>
      <c r="AD8" s="5" t="s">
        <v>458</v>
      </c>
      <c r="AE8" s="5" t="s">
        <v>458</v>
      </c>
      <c r="AF8" s="5" t="s">
        <v>458</v>
      </c>
      <c r="AG8" s="5" t="s">
        <v>458</v>
      </c>
      <c r="AH8" s="5" t="s">
        <v>458</v>
      </c>
      <c r="AI8" s="5" t="s">
        <v>458</v>
      </c>
      <c r="AJ8" s="5" t="s">
        <v>458</v>
      </c>
      <c r="AK8" s="5" t="s">
        <v>458</v>
      </c>
      <c r="AL8" s="5" t="s">
        <v>458</v>
      </c>
      <c r="AM8" s="5" t="s">
        <v>458</v>
      </c>
      <c r="AN8" s="5" t="s">
        <v>458</v>
      </c>
      <c r="AO8" s="5" t="s">
        <v>458</v>
      </c>
      <c r="AP8" s="5" t="s">
        <v>458</v>
      </c>
      <c r="AQ8" s="5" t="s">
        <v>458</v>
      </c>
      <c r="AR8" s="5" t="s">
        <v>458</v>
      </c>
      <c r="AS8" s="5" t="s">
        <v>458</v>
      </c>
      <c r="AT8" s="5" t="s">
        <v>458</v>
      </c>
      <c r="AU8" s="5" t="s">
        <v>458</v>
      </c>
      <c r="AV8" s="5" t="s">
        <v>458</v>
      </c>
      <c r="AW8" s="5" t="s">
        <v>458</v>
      </c>
      <c r="AX8" s="5" t="s">
        <v>458</v>
      </c>
      <c r="AY8" s="5" t="s">
        <v>458</v>
      </c>
      <c r="AZ8" s="5" t="s">
        <v>458</v>
      </c>
      <c r="BA8" s="5" t="s">
        <v>458</v>
      </c>
      <c r="BB8" s="5" t="s">
        <v>458</v>
      </c>
      <c r="BC8" s="5" t="s">
        <v>458</v>
      </c>
      <c r="BD8" s="5" t="s">
        <v>458</v>
      </c>
      <c r="BG8" s="3"/>
      <c r="BH8" s="3"/>
    </row>
    <row r="9" spans="1:60" x14ac:dyDescent="0.2">
      <c r="A9" s="21">
        <v>5</v>
      </c>
      <c r="B9" s="29">
        <v>6</v>
      </c>
      <c r="C9" s="337" t="s">
        <v>41</v>
      </c>
      <c r="D9" s="338">
        <v>13.00578</v>
      </c>
      <c r="E9" s="314">
        <v>31.502890000000001</v>
      </c>
      <c r="F9" s="314">
        <v>45.953760000000003</v>
      </c>
      <c r="G9" s="339">
        <v>53.75723</v>
      </c>
      <c r="H9" s="314" t="s">
        <v>458</v>
      </c>
      <c r="I9" s="314" t="s">
        <v>458</v>
      </c>
      <c r="J9" s="314" t="s">
        <v>458</v>
      </c>
      <c r="K9" s="314" t="s">
        <v>458</v>
      </c>
      <c r="L9" s="314" t="s">
        <v>458</v>
      </c>
      <c r="M9" s="314" t="s">
        <v>458</v>
      </c>
      <c r="N9" s="314" t="s">
        <v>458</v>
      </c>
      <c r="O9" s="314" t="s">
        <v>458</v>
      </c>
      <c r="P9" s="5" t="s">
        <v>458</v>
      </c>
      <c r="Q9" s="5" t="s">
        <v>458</v>
      </c>
      <c r="R9" s="5" t="s">
        <v>458</v>
      </c>
      <c r="S9" s="5" t="s">
        <v>458</v>
      </c>
      <c r="T9" s="5" t="s">
        <v>458</v>
      </c>
      <c r="U9" s="5" t="s">
        <v>458</v>
      </c>
      <c r="V9" s="5" t="s">
        <v>458</v>
      </c>
      <c r="W9" s="5" t="s">
        <v>458</v>
      </c>
      <c r="X9" s="5" t="s">
        <v>458</v>
      </c>
      <c r="Y9" s="5" t="s">
        <v>458</v>
      </c>
      <c r="Z9" s="5" t="s">
        <v>458</v>
      </c>
      <c r="AA9" s="5" t="s">
        <v>458</v>
      </c>
      <c r="AB9" s="5" t="s">
        <v>458</v>
      </c>
      <c r="AC9" s="5" t="s">
        <v>458</v>
      </c>
      <c r="AD9" s="5" t="s">
        <v>458</v>
      </c>
      <c r="AE9" s="5" t="s">
        <v>458</v>
      </c>
      <c r="AF9" s="5" t="s">
        <v>458</v>
      </c>
      <c r="AG9" s="5" t="s">
        <v>458</v>
      </c>
      <c r="AH9" s="5" t="s">
        <v>458</v>
      </c>
      <c r="AI9" s="5" t="s">
        <v>458</v>
      </c>
      <c r="AJ9" s="5" t="s">
        <v>458</v>
      </c>
      <c r="AK9" s="5" t="s">
        <v>458</v>
      </c>
      <c r="AL9" s="5" t="s">
        <v>458</v>
      </c>
      <c r="AM9" s="5" t="s">
        <v>458</v>
      </c>
      <c r="AN9" s="5" t="s">
        <v>458</v>
      </c>
      <c r="AO9" s="5" t="s">
        <v>458</v>
      </c>
      <c r="AP9" s="5" t="s">
        <v>458</v>
      </c>
      <c r="AQ9" s="5" t="s">
        <v>458</v>
      </c>
      <c r="AR9" s="5" t="s">
        <v>458</v>
      </c>
      <c r="AS9" s="5" t="s">
        <v>458</v>
      </c>
      <c r="AT9" s="5" t="s">
        <v>458</v>
      </c>
      <c r="AU9" s="5" t="s">
        <v>458</v>
      </c>
      <c r="AV9" s="5" t="s">
        <v>458</v>
      </c>
      <c r="AW9" s="5" t="s">
        <v>458</v>
      </c>
      <c r="AX9" s="5" t="s">
        <v>458</v>
      </c>
      <c r="AY9" s="5" t="s">
        <v>458</v>
      </c>
      <c r="AZ9" s="5" t="s">
        <v>458</v>
      </c>
      <c r="BA9" s="5" t="s">
        <v>458</v>
      </c>
      <c r="BB9" s="5" t="s">
        <v>458</v>
      </c>
      <c r="BC9" s="5" t="s">
        <v>458</v>
      </c>
      <c r="BD9" s="5" t="s">
        <v>458</v>
      </c>
      <c r="BG9" s="3"/>
      <c r="BH9" s="3"/>
    </row>
    <row r="10" spans="1:60" x14ac:dyDescent="0.2">
      <c r="A10" s="21">
        <v>5</v>
      </c>
      <c r="B10" s="29">
        <v>7</v>
      </c>
      <c r="C10" s="337" t="s">
        <v>41</v>
      </c>
      <c r="D10" s="338">
        <v>13.00578</v>
      </c>
      <c r="E10" s="314">
        <v>43.930639999999997</v>
      </c>
      <c r="F10" s="314">
        <v>81.21387</v>
      </c>
      <c r="G10" s="339">
        <v>88.150289999999998</v>
      </c>
      <c r="H10" s="314" t="s">
        <v>458</v>
      </c>
      <c r="I10" s="314" t="s">
        <v>458</v>
      </c>
      <c r="J10" s="314" t="s">
        <v>458</v>
      </c>
      <c r="K10" s="314" t="s">
        <v>458</v>
      </c>
      <c r="L10" s="314" t="s">
        <v>458</v>
      </c>
      <c r="M10" s="314" t="s">
        <v>458</v>
      </c>
      <c r="N10" s="314" t="s">
        <v>458</v>
      </c>
      <c r="O10" s="314" t="s">
        <v>458</v>
      </c>
      <c r="P10" s="5" t="s">
        <v>458</v>
      </c>
      <c r="Q10" s="5" t="s">
        <v>458</v>
      </c>
      <c r="R10" s="5" t="s">
        <v>458</v>
      </c>
      <c r="S10" s="5" t="s">
        <v>458</v>
      </c>
      <c r="T10" s="5" t="s">
        <v>458</v>
      </c>
      <c r="U10" s="5" t="s">
        <v>458</v>
      </c>
      <c r="V10" s="5" t="s">
        <v>458</v>
      </c>
      <c r="W10" s="5" t="s">
        <v>458</v>
      </c>
      <c r="X10" s="5" t="s">
        <v>458</v>
      </c>
      <c r="Y10" s="5" t="s">
        <v>458</v>
      </c>
      <c r="Z10" s="5" t="s">
        <v>458</v>
      </c>
      <c r="AA10" s="5" t="s">
        <v>458</v>
      </c>
      <c r="AB10" s="5" t="s">
        <v>458</v>
      </c>
      <c r="AC10" s="5" t="s">
        <v>458</v>
      </c>
      <c r="AD10" s="5" t="s">
        <v>458</v>
      </c>
      <c r="AE10" s="5" t="s">
        <v>458</v>
      </c>
      <c r="AF10" s="5" t="s">
        <v>458</v>
      </c>
      <c r="AG10" s="5" t="s">
        <v>458</v>
      </c>
      <c r="AH10" s="5" t="s">
        <v>458</v>
      </c>
      <c r="AI10" s="5" t="s">
        <v>458</v>
      </c>
      <c r="AJ10" s="5" t="s">
        <v>458</v>
      </c>
      <c r="AK10" s="5" t="s">
        <v>458</v>
      </c>
      <c r="AL10" s="5" t="s">
        <v>458</v>
      </c>
      <c r="AM10" s="5" t="s">
        <v>458</v>
      </c>
      <c r="AN10" s="5" t="s">
        <v>458</v>
      </c>
      <c r="AO10" s="5" t="s">
        <v>458</v>
      </c>
      <c r="AP10" s="5" t="s">
        <v>458</v>
      </c>
      <c r="AQ10" s="5" t="s">
        <v>458</v>
      </c>
      <c r="AR10" s="5" t="s">
        <v>458</v>
      </c>
      <c r="AS10" s="5" t="s">
        <v>458</v>
      </c>
      <c r="AT10" s="5" t="s">
        <v>458</v>
      </c>
      <c r="AU10" s="5" t="s">
        <v>458</v>
      </c>
      <c r="AV10" s="5" t="s">
        <v>458</v>
      </c>
      <c r="AW10" s="5" t="s">
        <v>458</v>
      </c>
      <c r="AX10" s="5" t="s">
        <v>458</v>
      </c>
      <c r="AY10" s="5" t="s">
        <v>458</v>
      </c>
      <c r="AZ10" s="5" t="s">
        <v>458</v>
      </c>
      <c r="BA10" s="5" t="s">
        <v>458</v>
      </c>
      <c r="BB10" s="5" t="s">
        <v>458</v>
      </c>
      <c r="BC10" s="5" t="s">
        <v>458</v>
      </c>
      <c r="BD10" s="5" t="s">
        <v>458</v>
      </c>
      <c r="BG10" s="3"/>
      <c r="BH10" s="3"/>
    </row>
    <row r="11" spans="1:60" x14ac:dyDescent="0.2">
      <c r="A11" s="21">
        <v>5</v>
      </c>
      <c r="B11" s="29">
        <v>8</v>
      </c>
      <c r="C11" s="337" t="s">
        <v>41</v>
      </c>
      <c r="D11" s="338">
        <v>27.745660000000001</v>
      </c>
      <c r="E11" s="314">
        <v>55.491329999999998</v>
      </c>
      <c r="F11" s="314">
        <v>83.526009999999999</v>
      </c>
      <c r="G11" s="339">
        <v>99.710980000000006</v>
      </c>
      <c r="H11" s="314" t="s">
        <v>458</v>
      </c>
      <c r="I11" s="314" t="s">
        <v>458</v>
      </c>
      <c r="J11" s="314" t="s">
        <v>458</v>
      </c>
      <c r="K11" s="314" t="s">
        <v>458</v>
      </c>
      <c r="L11" s="314" t="s">
        <v>458</v>
      </c>
      <c r="M11" s="314" t="s">
        <v>458</v>
      </c>
      <c r="N11" s="314" t="s">
        <v>458</v>
      </c>
      <c r="O11" s="314" t="s">
        <v>458</v>
      </c>
      <c r="P11" s="5" t="s">
        <v>458</v>
      </c>
      <c r="Q11" s="5" t="s">
        <v>458</v>
      </c>
      <c r="R11" s="5" t="s">
        <v>458</v>
      </c>
      <c r="S11" s="5" t="s">
        <v>458</v>
      </c>
      <c r="T11" s="5" t="s">
        <v>458</v>
      </c>
      <c r="U11" s="5" t="s">
        <v>458</v>
      </c>
      <c r="V11" s="5" t="s">
        <v>458</v>
      </c>
      <c r="W11" s="5" t="s">
        <v>458</v>
      </c>
      <c r="X11" s="5" t="s">
        <v>458</v>
      </c>
      <c r="Y11" s="5" t="s">
        <v>458</v>
      </c>
      <c r="Z11" s="5" t="s">
        <v>458</v>
      </c>
      <c r="AA11" s="5" t="s">
        <v>458</v>
      </c>
      <c r="AB11" s="5" t="s">
        <v>458</v>
      </c>
      <c r="AC11" s="5" t="s">
        <v>458</v>
      </c>
      <c r="AD11" s="5" t="s">
        <v>458</v>
      </c>
      <c r="AE11" s="5" t="s">
        <v>458</v>
      </c>
      <c r="AF11" s="5" t="s">
        <v>458</v>
      </c>
      <c r="AG11" s="5" t="s">
        <v>458</v>
      </c>
      <c r="AH11" s="5" t="s">
        <v>458</v>
      </c>
      <c r="AI11" s="5" t="s">
        <v>458</v>
      </c>
      <c r="AJ11" s="5" t="s">
        <v>458</v>
      </c>
      <c r="AK11" s="5" t="s">
        <v>458</v>
      </c>
      <c r="AL11" s="5" t="s">
        <v>458</v>
      </c>
      <c r="AM11" s="5" t="s">
        <v>458</v>
      </c>
      <c r="AN11" s="5" t="s">
        <v>458</v>
      </c>
      <c r="AO11" s="5" t="s">
        <v>458</v>
      </c>
      <c r="AP11" s="5" t="s">
        <v>458</v>
      </c>
      <c r="AQ11" s="5" t="s">
        <v>458</v>
      </c>
      <c r="AR11" s="5" t="s">
        <v>458</v>
      </c>
      <c r="AS11" s="5" t="s">
        <v>458</v>
      </c>
      <c r="AT11" s="5" t="s">
        <v>458</v>
      </c>
      <c r="AU11" s="5" t="s">
        <v>458</v>
      </c>
      <c r="AV11" s="5" t="s">
        <v>458</v>
      </c>
      <c r="AW11" s="5" t="s">
        <v>458</v>
      </c>
      <c r="AX11" s="5" t="s">
        <v>458</v>
      </c>
      <c r="AY11" s="5" t="s">
        <v>458</v>
      </c>
      <c r="AZ11" s="5" t="s">
        <v>458</v>
      </c>
      <c r="BA11" s="5" t="s">
        <v>458</v>
      </c>
      <c r="BB11" s="5" t="s">
        <v>458</v>
      </c>
      <c r="BC11" s="5" t="s">
        <v>458</v>
      </c>
      <c r="BD11" s="5" t="s">
        <v>458</v>
      </c>
      <c r="BG11" s="3"/>
      <c r="BH11" s="3"/>
    </row>
    <row r="12" spans="1:60" x14ac:dyDescent="0.2">
      <c r="A12" s="21">
        <v>5</v>
      </c>
      <c r="B12" s="29">
        <v>9</v>
      </c>
      <c r="C12" s="337" t="s">
        <v>161</v>
      </c>
      <c r="D12" s="338">
        <v>0.97560999999999998</v>
      </c>
      <c r="E12" s="314">
        <v>4.87805</v>
      </c>
      <c r="F12" s="314">
        <v>10</v>
      </c>
      <c r="G12" s="339">
        <v>10.73171</v>
      </c>
      <c r="H12" s="314" t="s">
        <v>458</v>
      </c>
      <c r="I12" s="314" t="s">
        <v>458</v>
      </c>
      <c r="J12" s="314" t="s">
        <v>458</v>
      </c>
      <c r="K12" s="314" t="s">
        <v>458</v>
      </c>
      <c r="L12" s="314" t="s">
        <v>458</v>
      </c>
      <c r="M12" s="314" t="s">
        <v>458</v>
      </c>
      <c r="N12" s="314" t="s">
        <v>458</v>
      </c>
      <c r="O12" s="314" t="s">
        <v>458</v>
      </c>
      <c r="P12" s="5" t="s">
        <v>458</v>
      </c>
      <c r="Q12" s="5" t="s">
        <v>458</v>
      </c>
      <c r="R12" s="5" t="s">
        <v>458</v>
      </c>
      <c r="S12" s="5" t="s">
        <v>458</v>
      </c>
      <c r="T12" s="5" t="s">
        <v>458</v>
      </c>
      <c r="U12" s="5" t="s">
        <v>458</v>
      </c>
      <c r="V12" s="5" t="s">
        <v>458</v>
      </c>
      <c r="W12" s="5" t="s">
        <v>458</v>
      </c>
      <c r="X12" s="5" t="s">
        <v>458</v>
      </c>
      <c r="Y12" s="5" t="s">
        <v>458</v>
      </c>
      <c r="Z12" s="5" t="s">
        <v>458</v>
      </c>
      <c r="AA12" s="5" t="s">
        <v>458</v>
      </c>
      <c r="AB12" s="5" t="s">
        <v>458</v>
      </c>
      <c r="AC12" s="5" t="s">
        <v>458</v>
      </c>
      <c r="AD12" s="5" t="s">
        <v>458</v>
      </c>
      <c r="AE12" s="5" t="s">
        <v>458</v>
      </c>
      <c r="AF12" s="5" t="s">
        <v>458</v>
      </c>
      <c r="AG12" s="5" t="s">
        <v>458</v>
      </c>
      <c r="AH12" s="5" t="s">
        <v>458</v>
      </c>
      <c r="AI12" s="5" t="s">
        <v>458</v>
      </c>
      <c r="AJ12" s="5" t="s">
        <v>458</v>
      </c>
      <c r="AK12" s="5" t="s">
        <v>458</v>
      </c>
      <c r="AL12" s="5" t="s">
        <v>458</v>
      </c>
      <c r="AM12" s="5" t="s">
        <v>458</v>
      </c>
      <c r="AN12" s="5" t="s">
        <v>458</v>
      </c>
      <c r="AO12" s="5" t="s">
        <v>458</v>
      </c>
      <c r="AP12" s="5" t="s">
        <v>458</v>
      </c>
      <c r="AQ12" s="5" t="s">
        <v>458</v>
      </c>
      <c r="AR12" s="5" t="s">
        <v>458</v>
      </c>
      <c r="AS12" s="5" t="s">
        <v>458</v>
      </c>
      <c r="AT12" s="5" t="s">
        <v>458</v>
      </c>
      <c r="AU12" s="5" t="s">
        <v>458</v>
      </c>
      <c r="AV12" s="5" t="s">
        <v>458</v>
      </c>
      <c r="AW12" s="5" t="s">
        <v>458</v>
      </c>
      <c r="AX12" s="5" t="s">
        <v>458</v>
      </c>
      <c r="AY12" s="5" t="s">
        <v>458</v>
      </c>
      <c r="AZ12" s="5" t="s">
        <v>458</v>
      </c>
      <c r="BA12" s="5" t="s">
        <v>458</v>
      </c>
      <c r="BB12" s="5" t="s">
        <v>458</v>
      </c>
      <c r="BC12" s="5" t="s">
        <v>458</v>
      </c>
      <c r="BD12" s="5" t="s">
        <v>458</v>
      </c>
      <c r="BG12" s="3"/>
      <c r="BH12" s="3"/>
    </row>
    <row r="13" spans="1:60" x14ac:dyDescent="0.2">
      <c r="A13" s="21">
        <v>5</v>
      </c>
      <c r="B13" s="29">
        <v>10</v>
      </c>
      <c r="C13" s="337" t="s">
        <v>42</v>
      </c>
      <c r="D13" s="338">
        <v>1.2195100000000001</v>
      </c>
      <c r="E13" s="314">
        <v>4.63415</v>
      </c>
      <c r="F13" s="314">
        <v>5.12195</v>
      </c>
      <c r="G13" s="339">
        <v>8.0487800000000007</v>
      </c>
      <c r="H13" s="314" t="s">
        <v>458</v>
      </c>
      <c r="I13" s="314" t="s">
        <v>458</v>
      </c>
      <c r="J13" s="314" t="s">
        <v>458</v>
      </c>
      <c r="K13" s="314" t="s">
        <v>458</v>
      </c>
      <c r="L13" s="314" t="s">
        <v>458</v>
      </c>
      <c r="M13" s="314" t="s">
        <v>458</v>
      </c>
      <c r="N13" s="314" t="s">
        <v>458</v>
      </c>
      <c r="O13" s="314" t="s">
        <v>458</v>
      </c>
      <c r="P13" s="5" t="s">
        <v>458</v>
      </c>
      <c r="Q13" s="5" t="s">
        <v>458</v>
      </c>
      <c r="R13" s="5" t="s">
        <v>458</v>
      </c>
      <c r="S13" s="5" t="s">
        <v>458</v>
      </c>
      <c r="T13" s="5" t="s">
        <v>458</v>
      </c>
      <c r="U13" s="5" t="s">
        <v>458</v>
      </c>
      <c r="V13" s="5" t="s">
        <v>458</v>
      </c>
      <c r="W13" s="5" t="s">
        <v>458</v>
      </c>
      <c r="X13" s="5" t="s">
        <v>458</v>
      </c>
      <c r="Y13" s="5" t="s">
        <v>458</v>
      </c>
      <c r="Z13" s="5" t="s">
        <v>458</v>
      </c>
      <c r="AA13" s="5" t="s">
        <v>458</v>
      </c>
      <c r="AB13" s="5" t="s">
        <v>458</v>
      </c>
      <c r="AC13" s="5" t="s">
        <v>458</v>
      </c>
      <c r="AD13" s="5" t="s">
        <v>458</v>
      </c>
      <c r="AE13" s="5" t="s">
        <v>458</v>
      </c>
      <c r="AF13" s="5" t="s">
        <v>458</v>
      </c>
      <c r="AG13" s="5" t="s">
        <v>458</v>
      </c>
      <c r="AH13" s="5" t="s">
        <v>458</v>
      </c>
      <c r="AI13" s="5" t="s">
        <v>458</v>
      </c>
      <c r="AJ13" s="5" t="s">
        <v>458</v>
      </c>
      <c r="AK13" s="5" t="s">
        <v>458</v>
      </c>
      <c r="AL13" s="5" t="s">
        <v>458</v>
      </c>
      <c r="AM13" s="5" t="s">
        <v>458</v>
      </c>
      <c r="AN13" s="5" t="s">
        <v>458</v>
      </c>
      <c r="AO13" s="5" t="s">
        <v>458</v>
      </c>
      <c r="AP13" s="5" t="s">
        <v>458</v>
      </c>
      <c r="AQ13" s="5" t="s">
        <v>458</v>
      </c>
      <c r="AR13" s="5" t="s">
        <v>458</v>
      </c>
      <c r="AS13" s="5" t="s">
        <v>458</v>
      </c>
      <c r="AT13" s="5" t="s">
        <v>458</v>
      </c>
      <c r="AU13" s="5" t="s">
        <v>458</v>
      </c>
      <c r="AV13" s="5" t="s">
        <v>458</v>
      </c>
      <c r="AW13" s="5" t="s">
        <v>458</v>
      </c>
      <c r="AX13" s="5" t="s">
        <v>458</v>
      </c>
      <c r="AY13" s="5" t="s">
        <v>458</v>
      </c>
      <c r="AZ13" s="5" t="s">
        <v>458</v>
      </c>
      <c r="BA13" s="5" t="s">
        <v>458</v>
      </c>
      <c r="BB13" s="5" t="s">
        <v>458</v>
      </c>
      <c r="BC13" s="5" t="s">
        <v>458</v>
      </c>
      <c r="BD13" s="5" t="s">
        <v>458</v>
      </c>
      <c r="BG13" s="3"/>
      <c r="BH13" s="3"/>
    </row>
    <row r="14" spans="1:60" x14ac:dyDescent="0.2">
      <c r="A14" s="21">
        <v>5</v>
      </c>
      <c r="B14" s="29">
        <v>11</v>
      </c>
      <c r="C14" s="337" t="s">
        <v>42</v>
      </c>
      <c r="D14" s="338">
        <v>0.48780000000000001</v>
      </c>
      <c r="E14" s="314">
        <v>7.0731700000000002</v>
      </c>
      <c r="F14" s="314">
        <v>8.2926800000000007</v>
      </c>
      <c r="G14" s="339">
        <v>10</v>
      </c>
      <c r="H14" s="314" t="s">
        <v>458</v>
      </c>
      <c r="I14" s="314" t="s">
        <v>458</v>
      </c>
      <c r="J14" s="314" t="s">
        <v>458</v>
      </c>
      <c r="K14" s="314" t="s">
        <v>458</v>
      </c>
      <c r="L14" s="314" t="s">
        <v>458</v>
      </c>
      <c r="M14" s="314" t="s">
        <v>458</v>
      </c>
      <c r="N14" s="314" t="s">
        <v>458</v>
      </c>
      <c r="O14" s="314" t="s">
        <v>458</v>
      </c>
      <c r="P14" s="5" t="s">
        <v>458</v>
      </c>
      <c r="Q14" s="5" t="s">
        <v>458</v>
      </c>
      <c r="R14" s="5" t="s">
        <v>458</v>
      </c>
      <c r="S14" s="5" t="s">
        <v>458</v>
      </c>
      <c r="T14" s="5" t="s">
        <v>458</v>
      </c>
      <c r="U14" s="5" t="s">
        <v>458</v>
      </c>
      <c r="V14" s="5" t="s">
        <v>458</v>
      </c>
      <c r="W14" s="5" t="s">
        <v>458</v>
      </c>
      <c r="X14" s="5" t="s">
        <v>458</v>
      </c>
      <c r="Y14" s="5" t="s">
        <v>458</v>
      </c>
      <c r="Z14" s="5" t="s">
        <v>458</v>
      </c>
      <c r="AA14" s="5" t="s">
        <v>458</v>
      </c>
      <c r="AB14" s="5" t="s">
        <v>458</v>
      </c>
      <c r="AC14" s="5" t="s">
        <v>458</v>
      </c>
      <c r="AD14" s="5" t="s">
        <v>458</v>
      </c>
      <c r="AE14" s="5" t="s">
        <v>458</v>
      </c>
      <c r="AF14" s="5" t="s">
        <v>458</v>
      </c>
      <c r="AG14" s="5" t="s">
        <v>458</v>
      </c>
      <c r="AH14" s="5" t="s">
        <v>458</v>
      </c>
      <c r="AI14" s="5" t="s">
        <v>458</v>
      </c>
      <c r="AJ14" s="5" t="s">
        <v>458</v>
      </c>
      <c r="AK14" s="5" t="s">
        <v>458</v>
      </c>
      <c r="AL14" s="5" t="s">
        <v>458</v>
      </c>
      <c r="AM14" s="5" t="s">
        <v>458</v>
      </c>
      <c r="AN14" s="5" t="s">
        <v>458</v>
      </c>
      <c r="AO14" s="5" t="s">
        <v>458</v>
      </c>
      <c r="AP14" s="5" t="s">
        <v>458</v>
      </c>
      <c r="AQ14" s="5" t="s">
        <v>458</v>
      </c>
      <c r="AR14" s="5" t="s">
        <v>458</v>
      </c>
      <c r="AS14" s="5" t="s">
        <v>458</v>
      </c>
      <c r="AT14" s="5" t="s">
        <v>458</v>
      </c>
      <c r="AU14" s="5" t="s">
        <v>458</v>
      </c>
      <c r="AV14" s="5" t="s">
        <v>458</v>
      </c>
      <c r="AW14" s="5" t="s">
        <v>458</v>
      </c>
      <c r="AX14" s="5" t="s">
        <v>458</v>
      </c>
      <c r="AY14" s="5" t="s">
        <v>458</v>
      </c>
      <c r="AZ14" s="5" t="s">
        <v>458</v>
      </c>
      <c r="BA14" s="5" t="s">
        <v>458</v>
      </c>
      <c r="BB14" s="5" t="s">
        <v>458</v>
      </c>
      <c r="BC14" s="5" t="s">
        <v>458</v>
      </c>
      <c r="BD14" s="5" t="s">
        <v>458</v>
      </c>
      <c r="BG14" s="3"/>
      <c r="BH14" s="3"/>
    </row>
    <row r="15" spans="1:60" x14ac:dyDescent="0.2">
      <c r="A15" s="21">
        <v>5</v>
      </c>
      <c r="B15" s="29">
        <v>12</v>
      </c>
      <c r="C15" s="337" t="s">
        <v>42</v>
      </c>
      <c r="D15" s="338">
        <v>0.48780000000000001</v>
      </c>
      <c r="E15" s="314">
        <v>11.707319999999999</v>
      </c>
      <c r="F15" s="314">
        <v>14.87805</v>
      </c>
      <c r="G15" s="339">
        <v>18.53659</v>
      </c>
      <c r="H15" s="314" t="s">
        <v>458</v>
      </c>
      <c r="I15" s="314" t="s">
        <v>458</v>
      </c>
      <c r="J15" s="314" t="s">
        <v>458</v>
      </c>
      <c r="K15" s="314" t="s">
        <v>458</v>
      </c>
      <c r="L15" s="314" t="s">
        <v>458</v>
      </c>
      <c r="M15" s="314" t="s">
        <v>458</v>
      </c>
      <c r="N15" s="314" t="s">
        <v>458</v>
      </c>
      <c r="O15" s="314" t="s">
        <v>458</v>
      </c>
      <c r="P15" s="5" t="s">
        <v>458</v>
      </c>
      <c r="Q15" s="5" t="s">
        <v>458</v>
      </c>
      <c r="R15" s="5" t="s">
        <v>458</v>
      </c>
      <c r="S15" s="5" t="s">
        <v>458</v>
      </c>
      <c r="T15" s="5" t="s">
        <v>458</v>
      </c>
      <c r="U15" s="5" t="s">
        <v>458</v>
      </c>
      <c r="V15" s="5" t="s">
        <v>458</v>
      </c>
      <c r="W15" s="5" t="s">
        <v>458</v>
      </c>
      <c r="X15" s="5" t="s">
        <v>458</v>
      </c>
      <c r="Y15" s="5" t="s">
        <v>458</v>
      </c>
      <c r="Z15" s="5" t="s">
        <v>458</v>
      </c>
      <c r="AA15" s="5" t="s">
        <v>458</v>
      </c>
      <c r="AB15" s="5" t="s">
        <v>458</v>
      </c>
      <c r="AC15" s="5" t="s">
        <v>458</v>
      </c>
      <c r="AD15" s="5" t="s">
        <v>458</v>
      </c>
      <c r="AE15" s="5" t="s">
        <v>458</v>
      </c>
      <c r="AF15" s="5" t="s">
        <v>458</v>
      </c>
      <c r="AG15" s="5" t="s">
        <v>458</v>
      </c>
      <c r="AH15" s="5" t="s">
        <v>458</v>
      </c>
      <c r="AI15" s="5" t="s">
        <v>458</v>
      </c>
      <c r="AJ15" s="5" t="s">
        <v>458</v>
      </c>
      <c r="AK15" s="5" t="s">
        <v>458</v>
      </c>
      <c r="AL15" s="5" t="s">
        <v>458</v>
      </c>
      <c r="AM15" s="5" t="s">
        <v>458</v>
      </c>
      <c r="AN15" s="5" t="s">
        <v>458</v>
      </c>
      <c r="AO15" s="5" t="s">
        <v>458</v>
      </c>
      <c r="AP15" s="5" t="s">
        <v>458</v>
      </c>
      <c r="AQ15" s="5" t="s">
        <v>458</v>
      </c>
      <c r="AR15" s="5" t="s">
        <v>458</v>
      </c>
      <c r="AS15" s="5" t="s">
        <v>458</v>
      </c>
      <c r="AT15" s="5" t="s">
        <v>458</v>
      </c>
      <c r="AU15" s="5" t="s">
        <v>458</v>
      </c>
      <c r="AV15" s="5" t="s">
        <v>458</v>
      </c>
      <c r="AW15" s="5" t="s">
        <v>458</v>
      </c>
      <c r="AX15" s="5" t="s">
        <v>458</v>
      </c>
      <c r="AY15" s="5" t="s">
        <v>458</v>
      </c>
      <c r="AZ15" s="5" t="s">
        <v>458</v>
      </c>
      <c r="BA15" s="5" t="s">
        <v>458</v>
      </c>
      <c r="BB15" s="5" t="s">
        <v>458</v>
      </c>
      <c r="BC15" s="5" t="s">
        <v>458</v>
      </c>
      <c r="BD15" s="5" t="s">
        <v>458</v>
      </c>
      <c r="BG15" s="3"/>
      <c r="BH15" s="3"/>
    </row>
    <row r="16" spans="1:60" x14ac:dyDescent="0.2">
      <c r="A16" s="8">
        <v>5</v>
      </c>
      <c r="B16" s="8">
        <v>13</v>
      </c>
      <c r="C16" s="8" t="s">
        <v>42</v>
      </c>
      <c r="D16" s="314">
        <v>0.97560999999999998</v>
      </c>
      <c r="E16" s="314">
        <v>12.195119999999999</v>
      </c>
      <c r="F16" s="314">
        <v>20.4878</v>
      </c>
      <c r="G16" s="314">
        <v>34.878050000000002</v>
      </c>
      <c r="H16" s="314" t="s">
        <v>458</v>
      </c>
      <c r="I16" s="314" t="s">
        <v>458</v>
      </c>
      <c r="J16" s="314" t="s">
        <v>458</v>
      </c>
      <c r="K16" t="s">
        <v>458</v>
      </c>
      <c r="L16" t="s">
        <v>458</v>
      </c>
      <c r="M16" t="s">
        <v>458</v>
      </c>
      <c r="N16" t="s">
        <v>458</v>
      </c>
      <c r="O16" t="s">
        <v>458</v>
      </c>
      <c r="P16" s="5" t="s">
        <v>458</v>
      </c>
      <c r="Q16" s="5" t="s">
        <v>458</v>
      </c>
      <c r="R16" s="5" t="s">
        <v>458</v>
      </c>
      <c r="S16" s="5" t="s">
        <v>458</v>
      </c>
      <c r="T16" s="5" t="s">
        <v>458</v>
      </c>
      <c r="U16" t="s">
        <v>458</v>
      </c>
      <c r="V16" t="s">
        <v>458</v>
      </c>
      <c r="W16" t="s">
        <v>458</v>
      </c>
      <c r="X16" t="s">
        <v>458</v>
      </c>
      <c r="Y16" t="s">
        <v>458</v>
      </c>
      <c r="Z16" t="s">
        <v>458</v>
      </c>
      <c r="AA16" t="s">
        <v>458</v>
      </c>
      <c r="AB16" t="s">
        <v>458</v>
      </c>
      <c r="AC16" t="s">
        <v>458</v>
      </c>
      <c r="AD16" t="s">
        <v>458</v>
      </c>
      <c r="AE16" t="s">
        <v>458</v>
      </c>
      <c r="AF16" t="s">
        <v>458</v>
      </c>
      <c r="AG16" t="s">
        <v>458</v>
      </c>
      <c r="AH16" t="s">
        <v>458</v>
      </c>
      <c r="AI16" t="s">
        <v>458</v>
      </c>
      <c r="AJ16" t="s">
        <v>458</v>
      </c>
      <c r="AK16" t="s">
        <v>458</v>
      </c>
      <c r="AL16" t="s">
        <v>458</v>
      </c>
      <c r="AM16" t="s">
        <v>458</v>
      </c>
      <c r="AN16" t="s">
        <v>458</v>
      </c>
      <c r="AO16" t="s">
        <v>458</v>
      </c>
      <c r="AP16" t="s">
        <v>458</v>
      </c>
      <c r="AQ16" t="s">
        <v>458</v>
      </c>
      <c r="AR16" t="s">
        <v>458</v>
      </c>
      <c r="AS16" t="s">
        <v>458</v>
      </c>
      <c r="AT16" t="s">
        <v>458</v>
      </c>
      <c r="AU16" t="s">
        <v>458</v>
      </c>
      <c r="AV16" t="s">
        <v>458</v>
      </c>
      <c r="AW16" t="s">
        <v>458</v>
      </c>
      <c r="AX16" t="s">
        <v>458</v>
      </c>
      <c r="AY16" t="s">
        <v>458</v>
      </c>
      <c r="AZ16" t="s">
        <v>458</v>
      </c>
      <c r="BA16" t="s">
        <v>458</v>
      </c>
      <c r="BB16" t="s">
        <v>458</v>
      </c>
      <c r="BC16" t="s">
        <v>458</v>
      </c>
      <c r="BD16" t="s">
        <v>458</v>
      </c>
      <c r="BG16" s="3"/>
      <c r="BH16" s="3"/>
    </row>
    <row r="17" spans="1:60" x14ac:dyDescent="0.2">
      <c r="A17" s="21">
        <v>5</v>
      </c>
      <c r="B17" s="29">
        <v>14</v>
      </c>
      <c r="C17" s="29" t="s">
        <v>42</v>
      </c>
      <c r="D17">
        <v>3.6585399999999999</v>
      </c>
      <c r="E17">
        <v>29.02439</v>
      </c>
      <c r="F17">
        <v>32.195120000000003</v>
      </c>
      <c r="G17">
        <v>40</v>
      </c>
      <c r="H17" s="314" t="s">
        <v>458</v>
      </c>
      <c r="I17" s="314" t="s">
        <v>458</v>
      </c>
      <c r="J17" s="314" t="s">
        <v>458</v>
      </c>
      <c r="K17" s="314" t="s">
        <v>458</v>
      </c>
      <c r="L17" s="314" t="s">
        <v>458</v>
      </c>
      <c r="M17" s="314" t="s">
        <v>458</v>
      </c>
      <c r="N17" s="314" t="s">
        <v>458</v>
      </c>
      <c r="O17" s="314" t="s">
        <v>458</v>
      </c>
      <c r="P17" s="5" t="s">
        <v>458</v>
      </c>
      <c r="Q17" s="5" t="s">
        <v>458</v>
      </c>
      <c r="R17" s="5" t="s">
        <v>458</v>
      </c>
      <c r="S17" s="5" t="s">
        <v>458</v>
      </c>
      <c r="T17" s="5" t="s">
        <v>458</v>
      </c>
      <c r="U17" s="5" t="s">
        <v>458</v>
      </c>
      <c r="V17" s="5" t="s">
        <v>458</v>
      </c>
      <c r="W17" s="5" t="s">
        <v>458</v>
      </c>
      <c r="X17" s="5" t="s">
        <v>458</v>
      </c>
      <c r="Y17" s="5" t="s">
        <v>458</v>
      </c>
      <c r="Z17" s="5" t="s">
        <v>458</v>
      </c>
      <c r="AA17" s="5" t="s">
        <v>458</v>
      </c>
      <c r="AB17" s="5" t="s">
        <v>458</v>
      </c>
      <c r="AC17" s="5" t="s">
        <v>458</v>
      </c>
      <c r="AD17" s="5" t="s">
        <v>458</v>
      </c>
      <c r="AE17" s="5" t="s">
        <v>458</v>
      </c>
      <c r="AF17" s="5" t="s">
        <v>458</v>
      </c>
      <c r="AG17" s="5" t="s">
        <v>458</v>
      </c>
      <c r="AH17" s="5" t="s">
        <v>458</v>
      </c>
      <c r="AI17" s="5" t="s">
        <v>458</v>
      </c>
      <c r="AJ17" s="5" t="s">
        <v>458</v>
      </c>
      <c r="AK17" s="5" t="s">
        <v>458</v>
      </c>
      <c r="AL17" s="5" t="s">
        <v>458</v>
      </c>
      <c r="AM17" s="5" t="s">
        <v>458</v>
      </c>
      <c r="AN17" s="5" t="s">
        <v>458</v>
      </c>
      <c r="AO17" s="5" t="s">
        <v>458</v>
      </c>
      <c r="AP17" s="5" t="s">
        <v>458</v>
      </c>
      <c r="AQ17" s="5" t="s">
        <v>458</v>
      </c>
      <c r="AR17" s="5" t="s">
        <v>458</v>
      </c>
      <c r="AS17" s="5" t="s">
        <v>458</v>
      </c>
      <c r="AT17" s="5" t="s">
        <v>458</v>
      </c>
      <c r="AU17" s="5" t="s">
        <v>458</v>
      </c>
      <c r="AV17" s="5" t="s">
        <v>458</v>
      </c>
      <c r="AW17" s="5" t="s">
        <v>458</v>
      </c>
      <c r="AX17" s="5" t="s">
        <v>458</v>
      </c>
      <c r="AY17" s="5" t="s">
        <v>458</v>
      </c>
      <c r="AZ17" s="5" t="s">
        <v>458</v>
      </c>
      <c r="BA17" s="5" t="s">
        <v>458</v>
      </c>
      <c r="BB17" s="5" t="s">
        <v>458</v>
      </c>
      <c r="BC17" s="5" t="s">
        <v>458</v>
      </c>
      <c r="BD17" s="5" t="s">
        <v>458</v>
      </c>
      <c r="BG17" s="3"/>
      <c r="BH17" s="3"/>
    </row>
    <row r="18" spans="1:60" x14ac:dyDescent="0.2">
      <c r="A18" s="21">
        <v>5</v>
      </c>
      <c r="B18" s="29">
        <v>15</v>
      </c>
      <c r="C18" s="29" t="s">
        <v>42</v>
      </c>
      <c r="D18">
        <v>3.9024399999999999</v>
      </c>
      <c r="E18">
        <v>29.7561</v>
      </c>
      <c r="F18">
        <v>36.097560000000001</v>
      </c>
      <c r="G18">
        <v>42.195120000000003</v>
      </c>
      <c r="H18" s="314" t="s">
        <v>458</v>
      </c>
      <c r="I18" s="314" t="s">
        <v>458</v>
      </c>
      <c r="J18" s="314" t="s">
        <v>458</v>
      </c>
      <c r="K18" s="314" t="s">
        <v>458</v>
      </c>
      <c r="L18" s="314" t="s">
        <v>458</v>
      </c>
      <c r="M18" s="314" t="s">
        <v>458</v>
      </c>
      <c r="N18" s="314" t="s">
        <v>458</v>
      </c>
      <c r="O18" s="314" t="s">
        <v>458</v>
      </c>
      <c r="P18" s="5" t="s">
        <v>458</v>
      </c>
      <c r="Q18" s="5" t="s">
        <v>458</v>
      </c>
      <c r="R18" s="5" t="s">
        <v>458</v>
      </c>
      <c r="S18" s="5" t="s">
        <v>458</v>
      </c>
      <c r="T18" s="5" t="s">
        <v>458</v>
      </c>
      <c r="U18" s="5" t="s">
        <v>458</v>
      </c>
      <c r="V18" s="5" t="s">
        <v>458</v>
      </c>
      <c r="W18" s="5" t="s">
        <v>458</v>
      </c>
      <c r="X18" s="5" t="s">
        <v>458</v>
      </c>
      <c r="Y18" s="5" t="s">
        <v>458</v>
      </c>
      <c r="Z18" s="5" t="s">
        <v>458</v>
      </c>
      <c r="AA18" s="5" t="s">
        <v>458</v>
      </c>
      <c r="AB18" s="5" t="s">
        <v>458</v>
      </c>
      <c r="AC18" s="5" t="s">
        <v>458</v>
      </c>
      <c r="AD18" s="5" t="s">
        <v>458</v>
      </c>
      <c r="AE18" s="5" t="s">
        <v>458</v>
      </c>
      <c r="AF18" s="5" t="s">
        <v>458</v>
      </c>
      <c r="AG18" s="5" t="s">
        <v>458</v>
      </c>
      <c r="AH18" s="5" t="s">
        <v>458</v>
      </c>
      <c r="AI18" s="5" t="s">
        <v>458</v>
      </c>
      <c r="AJ18" s="5" t="s">
        <v>458</v>
      </c>
      <c r="AK18" s="5" t="s">
        <v>458</v>
      </c>
      <c r="AL18" s="5" t="s">
        <v>458</v>
      </c>
      <c r="AM18" s="5" t="s">
        <v>458</v>
      </c>
      <c r="AN18" s="5" t="s">
        <v>458</v>
      </c>
      <c r="AO18" s="5" t="s">
        <v>458</v>
      </c>
      <c r="AP18" s="5" t="s">
        <v>458</v>
      </c>
      <c r="AQ18" s="5" t="s">
        <v>458</v>
      </c>
      <c r="AR18" s="5" t="s">
        <v>458</v>
      </c>
      <c r="AS18" s="5" t="s">
        <v>458</v>
      </c>
      <c r="AT18" s="5" t="s">
        <v>458</v>
      </c>
      <c r="AU18" s="5" t="s">
        <v>458</v>
      </c>
      <c r="AV18" s="5" t="s">
        <v>458</v>
      </c>
      <c r="AW18" s="5" t="s">
        <v>458</v>
      </c>
      <c r="AX18" s="5" t="s">
        <v>458</v>
      </c>
      <c r="AY18" s="5" t="s">
        <v>458</v>
      </c>
      <c r="AZ18" s="5" t="s">
        <v>458</v>
      </c>
      <c r="BA18" s="5" t="s">
        <v>458</v>
      </c>
      <c r="BB18" s="5" t="s">
        <v>458</v>
      </c>
      <c r="BC18" s="5" t="s">
        <v>458</v>
      </c>
      <c r="BD18" s="5" t="s">
        <v>458</v>
      </c>
      <c r="BG18" s="3"/>
      <c r="BH18" s="3"/>
    </row>
    <row r="19" spans="1:60" x14ac:dyDescent="0.2">
      <c r="A19" s="21">
        <v>5</v>
      </c>
      <c r="B19" s="29">
        <v>16</v>
      </c>
      <c r="C19" s="29" t="s">
        <v>42</v>
      </c>
      <c r="D19">
        <v>4.63415</v>
      </c>
      <c r="E19">
        <v>36.341459999999998</v>
      </c>
      <c r="F19">
        <v>49.024389999999997</v>
      </c>
      <c r="G19">
        <v>62.926830000000002</v>
      </c>
      <c r="H19" s="314" t="s">
        <v>458</v>
      </c>
      <c r="I19" s="314" t="s">
        <v>458</v>
      </c>
      <c r="J19" s="314" t="s">
        <v>458</v>
      </c>
      <c r="K19" s="314" t="s">
        <v>458</v>
      </c>
      <c r="L19" s="314" t="s">
        <v>458</v>
      </c>
      <c r="M19" s="314" t="s">
        <v>458</v>
      </c>
      <c r="N19" s="314" t="s">
        <v>458</v>
      </c>
      <c r="O19" s="314" t="s">
        <v>458</v>
      </c>
      <c r="P19" s="5" t="s">
        <v>458</v>
      </c>
      <c r="Q19" s="5" t="s">
        <v>458</v>
      </c>
      <c r="R19" s="5" t="s">
        <v>458</v>
      </c>
      <c r="S19" s="5" t="s">
        <v>458</v>
      </c>
      <c r="T19" s="5" t="s">
        <v>458</v>
      </c>
      <c r="U19" s="5" t="s">
        <v>458</v>
      </c>
      <c r="V19" s="5" t="s">
        <v>458</v>
      </c>
      <c r="W19" s="5" t="s">
        <v>458</v>
      </c>
      <c r="X19" s="5" t="s">
        <v>458</v>
      </c>
      <c r="Y19" s="5" t="s">
        <v>458</v>
      </c>
      <c r="Z19" s="5" t="s">
        <v>458</v>
      </c>
      <c r="AA19" s="5" t="s">
        <v>458</v>
      </c>
      <c r="AB19" s="5" t="s">
        <v>458</v>
      </c>
      <c r="AC19" s="5" t="s">
        <v>458</v>
      </c>
      <c r="AD19" s="5" t="s">
        <v>458</v>
      </c>
      <c r="AE19" s="5" t="s">
        <v>458</v>
      </c>
      <c r="AF19" s="5" t="s">
        <v>458</v>
      </c>
      <c r="AG19" s="5" t="s">
        <v>458</v>
      </c>
      <c r="AH19" s="5" t="s">
        <v>458</v>
      </c>
      <c r="AI19" s="5" t="s">
        <v>458</v>
      </c>
      <c r="AJ19" s="5" t="s">
        <v>458</v>
      </c>
      <c r="AK19" s="5" t="s">
        <v>458</v>
      </c>
      <c r="AL19" s="5" t="s">
        <v>458</v>
      </c>
      <c r="AM19" s="5" t="s">
        <v>458</v>
      </c>
      <c r="AN19" s="5" t="s">
        <v>458</v>
      </c>
      <c r="AO19" s="5" t="s">
        <v>458</v>
      </c>
      <c r="AP19" s="5" t="s">
        <v>458</v>
      </c>
      <c r="AQ19" s="5" t="s">
        <v>458</v>
      </c>
      <c r="AR19" s="5" t="s">
        <v>458</v>
      </c>
      <c r="AS19" s="5" t="s">
        <v>458</v>
      </c>
      <c r="AT19" s="5" t="s">
        <v>458</v>
      </c>
      <c r="AU19" s="5" t="s">
        <v>458</v>
      </c>
      <c r="AV19" s="5" t="s">
        <v>458</v>
      </c>
      <c r="AW19" s="5" t="s">
        <v>458</v>
      </c>
      <c r="AX19" s="5" t="s">
        <v>458</v>
      </c>
      <c r="AY19" s="5" t="s">
        <v>458</v>
      </c>
      <c r="AZ19" s="5" t="s">
        <v>458</v>
      </c>
      <c r="BA19" s="5" t="s">
        <v>458</v>
      </c>
      <c r="BB19" s="5" t="s">
        <v>458</v>
      </c>
      <c r="BC19" s="5" t="s">
        <v>458</v>
      </c>
      <c r="BD19" s="5" t="s">
        <v>458</v>
      </c>
      <c r="BG19" s="3"/>
      <c r="BH19" s="3"/>
    </row>
    <row r="20" spans="1:60" x14ac:dyDescent="0.2">
      <c r="A20" s="21">
        <v>5</v>
      </c>
      <c r="B20" s="29">
        <v>17</v>
      </c>
      <c r="C20" s="29" t="s">
        <v>161</v>
      </c>
      <c r="D20">
        <v>1.2722599999999999</v>
      </c>
      <c r="E20">
        <v>4.8346099999999996</v>
      </c>
      <c r="F20">
        <v>9.4147599999999994</v>
      </c>
      <c r="G20">
        <v>9.6692099999999996</v>
      </c>
      <c r="H20" s="314" t="s">
        <v>458</v>
      </c>
      <c r="I20" s="314" t="s">
        <v>458</v>
      </c>
      <c r="J20" s="314" t="s">
        <v>458</v>
      </c>
      <c r="K20" s="314" t="s">
        <v>458</v>
      </c>
      <c r="L20" s="314" t="s">
        <v>458</v>
      </c>
      <c r="M20" s="314" t="s">
        <v>458</v>
      </c>
      <c r="N20" s="314" t="s">
        <v>458</v>
      </c>
      <c r="O20" s="314" t="s">
        <v>458</v>
      </c>
      <c r="P20" s="5" t="s">
        <v>458</v>
      </c>
      <c r="Q20" s="5" t="s">
        <v>458</v>
      </c>
      <c r="R20" s="5" t="s">
        <v>458</v>
      </c>
      <c r="S20" s="5" t="s">
        <v>458</v>
      </c>
      <c r="T20" s="5" t="s">
        <v>458</v>
      </c>
      <c r="U20" s="5" t="s">
        <v>458</v>
      </c>
      <c r="V20" s="5" t="s">
        <v>458</v>
      </c>
      <c r="W20" s="5" t="s">
        <v>458</v>
      </c>
      <c r="X20" s="5" t="s">
        <v>458</v>
      </c>
      <c r="Y20" s="5" t="s">
        <v>458</v>
      </c>
      <c r="Z20" s="5" t="s">
        <v>458</v>
      </c>
      <c r="AA20" s="5" t="s">
        <v>458</v>
      </c>
      <c r="AB20" s="5" t="s">
        <v>458</v>
      </c>
      <c r="AC20" s="5" t="s">
        <v>458</v>
      </c>
      <c r="AD20" s="5" t="s">
        <v>458</v>
      </c>
      <c r="AE20" s="5" t="s">
        <v>458</v>
      </c>
      <c r="AF20" s="5" t="s">
        <v>458</v>
      </c>
      <c r="AG20" s="5" t="s">
        <v>458</v>
      </c>
      <c r="AH20" s="5" t="s">
        <v>458</v>
      </c>
      <c r="AI20" s="5" t="s">
        <v>458</v>
      </c>
      <c r="AJ20" s="5" t="s">
        <v>458</v>
      </c>
      <c r="AK20" s="5" t="s">
        <v>458</v>
      </c>
      <c r="AL20" s="5" t="s">
        <v>458</v>
      </c>
      <c r="AM20" s="5" t="s">
        <v>458</v>
      </c>
      <c r="AN20" s="5" t="s">
        <v>458</v>
      </c>
      <c r="AO20" s="5" t="s">
        <v>458</v>
      </c>
      <c r="AP20" s="5" t="s">
        <v>458</v>
      </c>
      <c r="AQ20" s="5" t="s">
        <v>458</v>
      </c>
      <c r="AR20" s="5" t="s">
        <v>458</v>
      </c>
      <c r="AS20" s="5" t="s">
        <v>458</v>
      </c>
      <c r="AT20" s="5" t="s">
        <v>458</v>
      </c>
      <c r="AU20" s="5" t="s">
        <v>458</v>
      </c>
      <c r="AV20" s="5" t="s">
        <v>458</v>
      </c>
      <c r="AW20" s="5" t="s">
        <v>458</v>
      </c>
      <c r="AX20" s="5" t="s">
        <v>458</v>
      </c>
      <c r="AY20" s="5" t="s">
        <v>458</v>
      </c>
      <c r="AZ20" s="5" t="s">
        <v>458</v>
      </c>
      <c r="BA20" s="5" t="s">
        <v>458</v>
      </c>
      <c r="BB20" s="5" t="s">
        <v>458</v>
      </c>
      <c r="BC20" s="5" t="s">
        <v>458</v>
      </c>
      <c r="BD20" s="5" t="s">
        <v>458</v>
      </c>
      <c r="BG20" s="3"/>
      <c r="BH20" s="3"/>
    </row>
    <row r="21" spans="1:60" x14ac:dyDescent="0.2">
      <c r="A21" s="21">
        <v>5</v>
      </c>
      <c r="B21" s="29">
        <v>18</v>
      </c>
      <c r="C21" s="29" t="s">
        <v>43</v>
      </c>
      <c r="D21">
        <v>1.2722599999999999</v>
      </c>
      <c r="E21">
        <v>5.5979599999999996</v>
      </c>
      <c r="F21">
        <v>9.9236599999999999</v>
      </c>
      <c r="G21">
        <v>10.94148</v>
      </c>
      <c r="H21" s="314" t="s">
        <v>458</v>
      </c>
      <c r="I21" s="314" t="s">
        <v>458</v>
      </c>
      <c r="J21" s="314" t="s">
        <v>458</v>
      </c>
      <c r="K21" s="314" t="s">
        <v>458</v>
      </c>
      <c r="L21" s="314" t="s">
        <v>458</v>
      </c>
      <c r="M21" s="314" t="s">
        <v>458</v>
      </c>
      <c r="N21" s="314" t="s">
        <v>458</v>
      </c>
      <c r="O21" s="314" t="s">
        <v>458</v>
      </c>
      <c r="P21" s="5" t="s">
        <v>458</v>
      </c>
      <c r="Q21" s="5" t="s">
        <v>458</v>
      </c>
      <c r="R21" s="5" t="s">
        <v>458</v>
      </c>
      <c r="S21" s="5" t="s">
        <v>458</v>
      </c>
      <c r="T21" s="5" t="s">
        <v>458</v>
      </c>
      <c r="U21" s="5" t="s">
        <v>458</v>
      </c>
      <c r="V21" s="5" t="s">
        <v>458</v>
      </c>
      <c r="W21" s="5" t="s">
        <v>458</v>
      </c>
      <c r="X21" s="5" t="s">
        <v>458</v>
      </c>
      <c r="Y21" s="5" t="s">
        <v>458</v>
      </c>
      <c r="Z21" s="5" t="s">
        <v>458</v>
      </c>
      <c r="AA21" s="5" t="s">
        <v>458</v>
      </c>
      <c r="AB21" s="5" t="s">
        <v>458</v>
      </c>
      <c r="AC21" s="5" t="s">
        <v>458</v>
      </c>
      <c r="AD21" s="5" t="s">
        <v>458</v>
      </c>
      <c r="AE21" s="5" t="s">
        <v>458</v>
      </c>
      <c r="AF21" s="5" t="s">
        <v>458</v>
      </c>
      <c r="AG21" s="5" t="s">
        <v>458</v>
      </c>
      <c r="AH21" s="5" t="s">
        <v>458</v>
      </c>
      <c r="AI21" s="5" t="s">
        <v>458</v>
      </c>
      <c r="AJ21" s="5" t="s">
        <v>458</v>
      </c>
      <c r="AK21" s="5" t="s">
        <v>458</v>
      </c>
      <c r="AL21" s="5" t="s">
        <v>458</v>
      </c>
      <c r="AM21" s="5" t="s">
        <v>458</v>
      </c>
      <c r="AN21" s="5" t="s">
        <v>458</v>
      </c>
      <c r="AO21" s="5" t="s">
        <v>458</v>
      </c>
      <c r="AP21" s="5" t="s">
        <v>458</v>
      </c>
      <c r="AQ21" s="5" t="s">
        <v>458</v>
      </c>
      <c r="AR21" s="5" t="s">
        <v>458</v>
      </c>
      <c r="AS21" s="5" t="s">
        <v>458</v>
      </c>
      <c r="AT21" s="5" t="s">
        <v>458</v>
      </c>
      <c r="AU21" s="5" t="s">
        <v>458</v>
      </c>
      <c r="AV21" s="5" t="s">
        <v>458</v>
      </c>
      <c r="AW21" s="5" t="s">
        <v>458</v>
      </c>
      <c r="AX21" s="5" t="s">
        <v>458</v>
      </c>
      <c r="AY21" s="5" t="s">
        <v>458</v>
      </c>
      <c r="AZ21" s="5" t="s">
        <v>458</v>
      </c>
      <c r="BA21" s="5" t="s">
        <v>458</v>
      </c>
      <c r="BB21" s="5" t="s">
        <v>458</v>
      </c>
      <c r="BC21" s="5" t="s">
        <v>458</v>
      </c>
      <c r="BD21" s="5" t="s">
        <v>458</v>
      </c>
      <c r="BG21" s="3"/>
      <c r="BH21" s="3"/>
    </row>
    <row r="22" spans="1:60" x14ac:dyDescent="0.2">
      <c r="A22" s="21">
        <v>5</v>
      </c>
      <c r="B22" s="29">
        <v>19</v>
      </c>
      <c r="C22" s="29" t="s">
        <v>43</v>
      </c>
      <c r="D22">
        <v>1.2722599999999999</v>
      </c>
      <c r="E22">
        <v>7.1246799999999997</v>
      </c>
      <c r="F22">
        <v>12.46819</v>
      </c>
      <c r="G22">
        <v>15.52163</v>
      </c>
      <c r="H22" s="314" t="s">
        <v>458</v>
      </c>
      <c r="I22" s="314" t="s">
        <v>458</v>
      </c>
      <c r="J22" s="314" t="s">
        <v>458</v>
      </c>
      <c r="K22" s="314" t="s">
        <v>458</v>
      </c>
      <c r="L22" s="314" t="s">
        <v>458</v>
      </c>
      <c r="M22" s="314" t="s">
        <v>458</v>
      </c>
      <c r="N22" s="314" t="s">
        <v>458</v>
      </c>
      <c r="O22" s="314" t="s">
        <v>458</v>
      </c>
      <c r="P22" s="5" t="s">
        <v>458</v>
      </c>
      <c r="Q22" s="5" t="s">
        <v>458</v>
      </c>
      <c r="R22" s="5" t="s">
        <v>458</v>
      </c>
      <c r="S22" s="5" t="s">
        <v>458</v>
      </c>
      <c r="T22" s="5" t="s">
        <v>458</v>
      </c>
      <c r="U22" s="5" t="s">
        <v>458</v>
      </c>
      <c r="V22" s="5" t="s">
        <v>458</v>
      </c>
      <c r="W22" s="5" t="s">
        <v>458</v>
      </c>
      <c r="X22" s="5" t="s">
        <v>458</v>
      </c>
      <c r="Y22" s="5" t="s">
        <v>458</v>
      </c>
      <c r="Z22" s="5" t="s">
        <v>458</v>
      </c>
      <c r="AA22" s="5" t="s">
        <v>458</v>
      </c>
      <c r="AB22" s="5" t="s">
        <v>458</v>
      </c>
      <c r="AC22" s="5" t="s">
        <v>458</v>
      </c>
      <c r="AD22" s="5" t="s">
        <v>458</v>
      </c>
      <c r="AE22" s="5" t="s">
        <v>458</v>
      </c>
      <c r="AF22" s="5" t="s">
        <v>458</v>
      </c>
      <c r="AG22" s="5" t="s">
        <v>458</v>
      </c>
      <c r="AH22" s="5" t="s">
        <v>458</v>
      </c>
      <c r="AI22" s="5" t="s">
        <v>458</v>
      </c>
      <c r="AJ22" s="5" t="s">
        <v>458</v>
      </c>
      <c r="AK22" s="5" t="s">
        <v>458</v>
      </c>
      <c r="AL22" s="5" t="s">
        <v>458</v>
      </c>
      <c r="AM22" s="5" t="s">
        <v>458</v>
      </c>
      <c r="AN22" s="5" t="s">
        <v>458</v>
      </c>
      <c r="AO22" s="5" t="s">
        <v>458</v>
      </c>
      <c r="AP22" s="5" t="s">
        <v>458</v>
      </c>
      <c r="AQ22" s="5" t="s">
        <v>458</v>
      </c>
      <c r="AR22" s="5" t="s">
        <v>458</v>
      </c>
      <c r="AS22" s="5" t="s">
        <v>458</v>
      </c>
      <c r="AT22" s="5" t="s">
        <v>458</v>
      </c>
      <c r="AU22" s="5" t="s">
        <v>458</v>
      </c>
      <c r="AV22" s="5" t="s">
        <v>458</v>
      </c>
      <c r="AW22" s="5" t="s">
        <v>458</v>
      </c>
      <c r="AX22" s="5" t="s">
        <v>458</v>
      </c>
      <c r="AY22" s="5" t="s">
        <v>458</v>
      </c>
      <c r="AZ22" s="5" t="s">
        <v>458</v>
      </c>
      <c r="BA22" s="5" t="s">
        <v>458</v>
      </c>
      <c r="BB22" s="5" t="s">
        <v>458</v>
      </c>
      <c r="BC22" s="5" t="s">
        <v>458</v>
      </c>
      <c r="BD22" s="5" t="s">
        <v>458</v>
      </c>
      <c r="BG22" s="3"/>
      <c r="BH22" s="3"/>
    </row>
    <row r="23" spans="1:60" x14ac:dyDescent="0.2">
      <c r="A23" s="21">
        <v>5</v>
      </c>
      <c r="B23" s="29">
        <v>20</v>
      </c>
      <c r="C23" s="29" t="s">
        <v>43</v>
      </c>
      <c r="D23">
        <v>2.54453</v>
      </c>
      <c r="E23">
        <v>12.9771</v>
      </c>
      <c r="F23">
        <v>20.86514</v>
      </c>
      <c r="G23">
        <v>23.66412</v>
      </c>
      <c r="H23" s="314" t="s">
        <v>458</v>
      </c>
      <c r="I23" s="314" t="s">
        <v>458</v>
      </c>
      <c r="J23" s="314" t="s">
        <v>458</v>
      </c>
      <c r="K23" s="314" t="s">
        <v>458</v>
      </c>
      <c r="L23" s="314" t="s">
        <v>458</v>
      </c>
      <c r="M23" s="314" t="s">
        <v>458</v>
      </c>
      <c r="N23" s="314" t="s">
        <v>458</v>
      </c>
      <c r="O23" s="314" t="s">
        <v>458</v>
      </c>
      <c r="P23" s="5" t="s">
        <v>458</v>
      </c>
      <c r="Q23" s="5" t="s">
        <v>458</v>
      </c>
      <c r="R23" s="5" t="s">
        <v>458</v>
      </c>
      <c r="S23" s="5" t="s">
        <v>458</v>
      </c>
      <c r="T23" s="5" t="s">
        <v>458</v>
      </c>
      <c r="U23" s="5" t="s">
        <v>458</v>
      </c>
      <c r="V23" s="5" t="s">
        <v>458</v>
      </c>
      <c r="W23" s="5" t="s">
        <v>458</v>
      </c>
      <c r="X23" s="5" t="s">
        <v>458</v>
      </c>
      <c r="Y23" s="5" t="s">
        <v>458</v>
      </c>
      <c r="Z23" s="5" t="s">
        <v>458</v>
      </c>
      <c r="AA23" s="5" t="s">
        <v>458</v>
      </c>
      <c r="AB23" s="5" t="s">
        <v>458</v>
      </c>
      <c r="AC23" s="5" t="s">
        <v>458</v>
      </c>
      <c r="AD23" s="5" t="s">
        <v>458</v>
      </c>
      <c r="AE23" s="5" t="s">
        <v>458</v>
      </c>
      <c r="AF23" s="5" t="s">
        <v>458</v>
      </c>
      <c r="AG23" s="5" t="s">
        <v>458</v>
      </c>
      <c r="AH23" s="5" t="s">
        <v>458</v>
      </c>
      <c r="AI23" s="5" t="s">
        <v>458</v>
      </c>
      <c r="AJ23" s="5" t="s">
        <v>458</v>
      </c>
      <c r="AK23" s="5" t="s">
        <v>458</v>
      </c>
      <c r="AL23" s="5" t="s">
        <v>458</v>
      </c>
      <c r="AM23" s="5" t="s">
        <v>458</v>
      </c>
      <c r="AN23" s="5" t="s">
        <v>458</v>
      </c>
      <c r="AO23" s="5" t="s">
        <v>458</v>
      </c>
      <c r="AP23" s="5" t="s">
        <v>458</v>
      </c>
      <c r="AQ23" s="5" t="s">
        <v>458</v>
      </c>
      <c r="AR23" s="5" t="s">
        <v>458</v>
      </c>
      <c r="AS23" s="5" t="s">
        <v>458</v>
      </c>
      <c r="AT23" s="5" t="s">
        <v>458</v>
      </c>
      <c r="AU23" s="5" t="s">
        <v>458</v>
      </c>
      <c r="AV23" s="5" t="s">
        <v>458</v>
      </c>
      <c r="AW23" s="5" t="s">
        <v>458</v>
      </c>
      <c r="AX23" s="5" t="s">
        <v>458</v>
      </c>
      <c r="AY23" s="5" t="s">
        <v>458</v>
      </c>
      <c r="AZ23" s="5" t="s">
        <v>458</v>
      </c>
      <c r="BA23" s="5" t="s">
        <v>458</v>
      </c>
      <c r="BB23" s="5" t="s">
        <v>458</v>
      </c>
      <c r="BC23" s="5" t="s">
        <v>458</v>
      </c>
      <c r="BD23" s="5" t="s">
        <v>458</v>
      </c>
      <c r="BG23" s="3"/>
      <c r="BH23" s="3"/>
    </row>
    <row r="24" spans="1:60" x14ac:dyDescent="0.2">
      <c r="A24" s="21">
        <v>5</v>
      </c>
      <c r="B24" s="29">
        <v>21</v>
      </c>
      <c r="C24" s="29" t="s">
        <v>43</v>
      </c>
      <c r="D24">
        <v>4.8346099999999996</v>
      </c>
      <c r="E24">
        <v>13.740460000000001</v>
      </c>
      <c r="F24">
        <v>23.409669999999998</v>
      </c>
      <c r="G24">
        <v>38.167940000000002</v>
      </c>
      <c r="H24" s="314" t="s">
        <v>458</v>
      </c>
      <c r="I24" s="314" t="s">
        <v>458</v>
      </c>
      <c r="J24" s="314" t="s">
        <v>458</v>
      </c>
      <c r="K24" s="314" t="s">
        <v>458</v>
      </c>
      <c r="L24" s="314" t="s">
        <v>458</v>
      </c>
      <c r="M24" s="314" t="s">
        <v>458</v>
      </c>
      <c r="N24" s="314" t="s">
        <v>458</v>
      </c>
      <c r="O24" s="314" t="s">
        <v>458</v>
      </c>
      <c r="P24" s="5" t="s">
        <v>458</v>
      </c>
      <c r="Q24" s="5" t="s">
        <v>458</v>
      </c>
      <c r="R24" s="5" t="s">
        <v>458</v>
      </c>
      <c r="S24" s="5" t="s">
        <v>458</v>
      </c>
      <c r="T24" s="5" t="s">
        <v>458</v>
      </c>
      <c r="U24" s="5" t="s">
        <v>458</v>
      </c>
      <c r="V24" s="5" t="s">
        <v>458</v>
      </c>
      <c r="W24" s="5" t="s">
        <v>458</v>
      </c>
      <c r="X24" s="5" t="s">
        <v>458</v>
      </c>
      <c r="Y24" s="5" t="s">
        <v>458</v>
      </c>
      <c r="Z24" s="5" t="s">
        <v>458</v>
      </c>
      <c r="AA24" s="5" t="s">
        <v>458</v>
      </c>
      <c r="AB24" s="5" t="s">
        <v>458</v>
      </c>
      <c r="AC24" s="5" t="s">
        <v>458</v>
      </c>
      <c r="AD24" s="5" t="s">
        <v>458</v>
      </c>
      <c r="AE24" s="5" t="s">
        <v>458</v>
      </c>
      <c r="AF24" s="5" t="s">
        <v>458</v>
      </c>
      <c r="AG24" s="5" t="s">
        <v>458</v>
      </c>
      <c r="AH24" s="5" t="s">
        <v>458</v>
      </c>
      <c r="AI24" s="5" t="s">
        <v>458</v>
      </c>
      <c r="AJ24" s="5" t="s">
        <v>458</v>
      </c>
      <c r="AK24" s="5" t="s">
        <v>458</v>
      </c>
      <c r="AL24" s="5" t="s">
        <v>458</v>
      </c>
      <c r="AM24" s="5" t="s">
        <v>458</v>
      </c>
      <c r="AN24" s="5" t="s">
        <v>458</v>
      </c>
      <c r="AO24" s="5" t="s">
        <v>458</v>
      </c>
      <c r="AP24" s="5" t="s">
        <v>458</v>
      </c>
      <c r="AQ24" s="5" t="s">
        <v>458</v>
      </c>
      <c r="AR24" s="5" t="s">
        <v>458</v>
      </c>
      <c r="AS24" s="5" t="s">
        <v>458</v>
      </c>
      <c r="AT24" s="5" t="s">
        <v>458</v>
      </c>
      <c r="AU24" s="5" t="s">
        <v>458</v>
      </c>
      <c r="AV24" s="5" t="s">
        <v>458</v>
      </c>
      <c r="AW24" s="5" t="s">
        <v>458</v>
      </c>
      <c r="AX24" s="5" t="s">
        <v>458</v>
      </c>
      <c r="AY24" s="5" t="s">
        <v>458</v>
      </c>
      <c r="AZ24" s="5" t="s">
        <v>458</v>
      </c>
      <c r="BA24" s="5" t="s">
        <v>458</v>
      </c>
      <c r="BB24" s="5" t="s">
        <v>458</v>
      </c>
      <c r="BC24" s="5" t="s">
        <v>458</v>
      </c>
      <c r="BD24" s="5" t="s">
        <v>458</v>
      </c>
      <c r="BG24" s="3"/>
      <c r="BH24" s="3"/>
    </row>
    <row r="25" spans="1:60" x14ac:dyDescent="0.2">
      <c r="A25" s="21">
        <v>5</v>
      </c>
      <c r="B25" s="29">
        <v>22</v>
      </c>
      <c r="C25" s="29" t="s">
        <v>43</v>
      </c>
      <c r="D25">
        <v>6.8702300000000003</v>
      </c>
      <c r="E25">
        <v>30.53435</v>
      </c>
      <c r="F25">
        <v>35.877859999999998</v>
      </c>
      <c r="G25">
        <v>44.783720000000002</v>
      </c>
      <c r="H25" s="314" t="s">
        <v>458</v>
      </c>
      <c r="I25" s="314" t="s">
        <v>458</v>
      </c>
      <c r="J25" s="314" t="s">
        <v>458</v>
      </c>
      <c r="K25" s="314" t="s">
        <v>458</v>
      </c>
      <c r="L25" s="314" t="s">
        <v>458</v>
      </c>
      <c r="M25" s="314" t="s">
        <v>458</v>
      </c>
      <c r="N25" s="314" t="s">
        <v>458</v>
      </c>
      <c r="O25" s="314" t="s">
        <v>458</v>
      </c>
      <c r="P25" s="5" t="s">
        <v>458</v>
      </c>
      <c r="Q25" s="5" t="s">
        <v>458</v>
      </c>
      <c r="R25" s="5" t="s">
        <v>458</v>
      </c>
      <c r="S25" s="5" t="s">
        <v>458</v>
      </c>
      <c r="T25" s="5" t="s">
        <v>458</v>
      </c>
      <c r="U25" s="5" t="s">
        <v>458</v>
      </c>
      <c r="V25" s="5" t="s">
        <v>458</v>
      </c>
      <c r="W25" s="5" t="s">
        <v>458</v>
      </c>
      <c r="X25" s="5" t="s">
        <v>458</v>
      </c>
      <c r="Y25" s="5" t="s">
        <v>458</v>
      </c>
      <c r="Z25" s="5" t="s">
        <v>458</v>
      </c>
      <c r="AA25" s="5" t="s">
        <v>458</v>
      </c>
      <c r="AB25" s="5" t="s">
        <v>458</v>
      </c>
      <c r="AC25" s="5" t="s">
        <v>458</v>
      </c>
      <c r="AD25" s="5" t="s">
        <v>458</v>
      </c>
      <c r="AE25" s="5" t="s">
        <v>458</v>
      </c>
      <c r="AF25" s="5" t="s">
        <v>458</v>
      </c>
      <c r="AG25" s="5" t="s">
        <v>458</v>
      </c>
      <c r="AH25" s="5" t="s">
        <v>458</v>
      </c>
      <c r="AI25" s="5" t="s">
        <v>458</v>
      </c>
      <c r="AJ25" s="5" t="s">
        <v>458</v>
      </c>
      <c r="AK25" s="5" t="s">
        <v>458</v>
      </c>
      <c r="AL25" s="5" t="s">
        <v>458</v>
      </c>
      <c r="AM25" s="5" t="s">
        <v>458</v>
      </c>
      <c r="AN25" s="5" t="s">
        <v>458</v>
      </c>
      <c r="AO25" s="5" t="s">
        <v>458</v>
      </c>
      <c r="AP25" s="5" t="s">
        <v>458</v>
      </c>
      <c r="AQ25" s="5" t="s">
        <v>458</v>
      </c>
      <c r="AR25" s="5" t="s">
        <v>458</v>
      </c>
      <c r="AS25" s="5" t="s">
        <v>458</v>
      </c>
      <c r="AT25" s="5" t="s">
        <v>458</v>
      </c>
      <c r="AU25" s="5" t="s">
        <v>458</v>
      </c>
      <c r="AV25" s="5" t="s">
        <v>458</v>
      </c>
      <c r="AW25" s="5" t="s">
        <v>458</v>
      </c>
      <c r="AX25" s="5" t="s">
        <v>458</v>
      </c>
      <c r="AY25" s="5" t="s">
        <v>458</v>
      </c>
      <c r="AZ25" s="5" t="s">
        <v>458</v>
      </c>
      <c r="BA25" s="5" t="s">
        <v>458</v>
      </c>
      <c r="BB25" s="5" t="s">
        <v>458</v>
      </c>
      <c r="BC25" s="5" t="s">
        <v>458</v>
      </c>
      <c r="BD25" s="5" t="s">
        <v>458</v>
      </c>
      <c r="BG25" s="3"/>
      <c r="BH25" s="3"/>
    </row>
    <row r="26" spans="1:60" x14ac:dyDescent="0.2">
      <c r="A26" s="21">
        <v>5</v>
      </c>
      <c r="B26" s="29">
        <v>23</v>
      </c>
      <c r="C26" s="29" t="s">
        <v>43</v>
      </c>
      <c r="D26">
        <v>11.195930000000001</v>
      </c>
      <c r="E26">
        <v>36.641219999999997</v>
      </c>
      <c r="F26">
        <v>43.256999999999998</v>
      </c>
      <c r="G26">
        <v>58.77863</v>
      </c>
      <c r="H26" s="314" t="s">
        <v>458</v>
      </c>
      <c r="I26" s="314" t="s">
        <v>458</v>
      </c>
      <c r="J26" s="314" t="s">
        <v>458</v>
      </c>
      <c r="K26" s="314" t="s">
        <v>458</v>
      </c>
      <c r="L26" s="314" t="s">
        <v>458</v>
      </c>
      <c r="M26" s="314" t="s">
        <v>458</v>
      </c>
      <c r="N26" s="314" t="s">
        <v>458</v>
      </c>
      <c r="O26" s="314" t="s">
        <v>458</v>
      </c>
      <c r="P26" s="5" t="s">
        <v>458</v>
      </c>
      <c r="Q26" s="5" t="s">
        <v>458</v>
      </c>
      <c r="R26" s="5" t="s">
        <v>458</v>
      </c>
      <c r="S26" s="5" t="s">
        <v>458</v>
      </c>
      <c r="T26" s="5" t="s">
        <v>458</v>
      </c>
      <c r="U26" s="5" t="s">
        <v>458</v>
      </c>
      <c r="V26" s="5" t="s">
        <v>458</v>
      </c>
      <c r="W26" s="5" t="s">
        <v>458</v>
      </c>
      <c r="X26" s="5" t="s">
        <v>458</v>
      </c>
      <c r="Y26" s="5" t="s">
        <v>458</v>
      </c>
      <c r="Z26" s="5" t="s">
        <v>458</v>
      </c>
      <c r="AA26" s="5" t="s">
        <v>458</v>
      </c>
      <c r="AB26" s="5" t="s">
        <v>458</v>
      </c>
      <c r="AC26" s="5" t="s">
        <v>458</v>
      </c>
      <c r="AD26" s="5" t="s">
        <v>458</v>
      </c>
      <c r="AE26" s="5" t="s">
        <v>458</v>
      </c>
      <c r="AF26" s="5" t="s">
        <v>458</v>
      </c>
      <c r="AG26" s="5" t="s">
        <v>458</v>
      </c>
      <c r="AH26" s="5" t="s">
        <v>458</v>
      </c>
      <c r="AI26" s="5" t="s">
        <v>458</v>
      </c>
      <c r="AJ26" s="5" t="s">
        <v>458</v>
      </c>
      <c r="AK26" s="5" t="s">
        <v>458</v>
      </c>
      <c r="AL26" s="5" t="s">
        <v>458</v>
      </c>
      <c r="AM26" s="5" t="s">
        <v>458</v>
      </c>
      <c r="AN26" s="5" t="s">
        <v>458</v>
      </c>
      <c r="AO26" s="5" t="s">
        <v>458</v>
      </c>
      <c r="AP26" s="5" t="s">
        <v>458</v>
      </c>
      <c r="AQ26" s="5" t="s">
        <v>458</v>
      </c>
      <c r="AR26" s="5" t="s">
        <v>458</v>
      </c>
      <c r="AS26" s="5" t="s">
        <v>458</v>
      </c>
      <c r="AT26" s="5" t="s">
        <v>458</v>
      </c>
      <c r="AU26" s="5" t="s">
        <v>458</v>
      </c>
      <c r="AV26" s="5" t="s">
        <v>458</v>
      </c>
      <c r="AW26" s="5" t="s">
        <v>458</v>
      </c>
      <c r="AX26" s="5" t="s">
        <v>458</v>
      </c>
      <c r="AY26" s="5" t="s">
        <v>458</v>
      </c>
      <c r="AZ26" s="5" t="s">
        <v>458</v>
      </c>
      <c r="BA26" s="5" t="s">
        <v>458</v>
      </c>
      <c r="BB26" s="5" t="s">
        <v>458</v>
      </c>
      <c r="BC26" s="5" t="s">
        <v>458</v>
      </c>
      <c r="BD26" s="5" t="s">
        <v>458</v>
      </c>
      <c r="BG26" s="3"/>
      <c r="BH26" s="3"/>
    </row>
    <row r="27" spans="1:60" x14ac:dyDescent="0.2">
      <c r="A27" s="21">
        <v>5</v>
      </c>
      <c r="B27" s="29">
        <v>24</v>
      </c>
      <c r="C27" s="29" t="s">
        <v>43</v>
      </c>
      <c r="D27">
        <v>21.37405</v>
      </c>
      <c r="E27">
        <v>42.748089999999998</v>
      </c>
      <c r="F27">
        <v>52.671759999999999</v>
      </c>
      <c r="G27">
        <v>75.572519999999997</v>
      </c>
      <c r="H27" s="314" t="s">
        <v>458</v>
      </c>
      <c r="I27" s="314" t="s">
        <v>458</v>
      </c>
      <c r="J27" s="314" t="s">
        <v>458</v>
      </c>
      <c r="K27" s="314" t="s">
        <v>458</v>
      </c>
      <c r="L27" s="314" t="s">
        <v>458</v>
      </c>
      <c r="M27" s="314" t="s">
        <v>458</v>
      </c>
      <c r="N27" s="314" t="s">
        <v>458</v>
      </c>
      <c r="O27" s="314" t="s">
        <v>458</v>
      </c>
      <c r="P27" s="5" t="s">
        <v>458</v>
      </c>
      <c r="Q27" s="5" t="s">
        <v>458</v>
      </c>
      <c r="R27" s="5" t="s">
        <v>458</v>
      </c>
      <c r="S27" s="5" t="s">
        <v>458</v>
      </c>
      <c r="T27" s="5" t="s">
        <v>458</v>
      </c>
      <c r="U27" s="5" t="s">
        <v>458</v>
      </c>
      <c r="V27" s="5" t="s">
        <v>458</v>
      </c>
      <c r="W27" s="5" t="s">
        <v>458</v>
      </c>
      <c r="X27" s="5" t="s">
        <v>458</v>
      </c>
      <c r="Y27" s="5" t="s">
        <v>458</v>
      </c>
      <c r="Z27" s="5" t="s">
        <v>458</v>
      </c>
      <c r="AA27" s="5" t="s">
        <v>458</v>
      </c>
      <c r="AB27" s="5" t="s">
        <v>458</v>
      </c>
      <c r="AC27" s="5" t="s">
        <v>458</v>
      </c>
      <c r="AD27" s="5" t="s">
        <v>458</v>
      </c>
      <c r="AE27" s="5" t="s">
        <v>458</v>
      </c>
      <c r="AF27" s="5" t="s">
        <v>458</v>
      </c>
      <c r="AG27" s="5" t="s">
        <v>458</v>
      </c>
      <c r="AH27" s="5" t="s">
        <v>458</v>
      </c>
      <c r="AI27" s="5" t="s">
        <v>458</v>
      </c>
      <c r="AJ27" s="5" t="s">
        <v>458</v>
      </c>
      <c r="AK27" s="5" t="s">
        <v>458</v>
      </c>
      <c r="AL27" s="5" t="s">
        <v>458</v>
      </c>
      <c r="AM27" s="5" t="s">
        <v>458</v>
      </c>
      <c r="AN27" s="5" t="s">
        <v>458</v>
      </c>
      <c r="AO27" s="5" t="s">
        <v>458</v>
      </c>
      <c r="AP27" s="5" t="s">
        <v>458</v>
      </c>
      <c r="AQ27" s="5" t="s">
        <v>458</v>
      </c>
      <c r="AR27" s="5" t="s">
        <v>458</v>
      </c>
      <c r="AS27" s="5" t="s">
        <v>458</v>
      </c>
      <c r="AT27" s="5" t="s">
        <v>458</v>
      </c>
      <c r="AU27" s="5" t="s">
        <v>458</v>
      </c>
      <c r="AV27" s="5" t="s">
        <v>458</v>
      </c>
      <c r="AW27" s="5" t="s">
        <v>458</v>
      </c>
      <c r="AX27" s="5" t="s">
        <v>458</v>
      </c>
      <c r="AY27" s="5" t="s">
        <v>458</v>
      </c>
      <c r="AZ27" s="5" t="s">
        <v>458</v>
      </c>
      <c r="BA27" s="5" t="s">
        <v>458</v>
      </c>
      <c r="BB27" s="5" t="s">
        <v>458</v>
      </c>
      <c r="BC27" s="5" t="s">
        <v>458</v>
      </c>
      <c r="BD27" s="5" t="s">
        <v>458</v>
      </c>
      <c r="BG27" s="3"/>
      <c r="BH27" s="3"/>
    </row>
    <row r="28" spans="1:60" x14ac:dyDescent="0.2">
      <c r="A28" s="8">
        <v>5</v>
      </c>
      <c r="B28" s="8">
        <v>25</v>
      </c>
      <c r="C28" s="8" t="s">
        <v>162</v>
      </c>
      <c r="D28">
        <v>0.49875000000000003</v>
      </c>
      <c r="E28">
        <v>8.72818</v>
      </c>
      <c r="F28">
        <v>13.71571</v>
      </c>
      <c r="G28">
        <v>21.446380000000001</v>
      </c>
      <c r="H28" s="314" t="s">
        <v>458</v>
      </c>
      <c r="I28" s="314" t="s">
        <v>458</v>
      </c>
      <c r="J28" s="314" t="s">
        <v>458</v>
      </c>
      <c r="K28" s="314" t="s">
        <v>458</v>
      </c>
      <c r="L28" s="314" t="s">
        <v>458</v>
      </c>
      <c r="M28" s="314" t="s">
        <v>458</v>
      </c>
      <c r="N28" s="314" t="s">
        <v>458</v>
      </c>
      <c r="O28" s="314" t="s">
        <v>458</v>
      </c>
      <c r="P28" s="5" t="s">
        <v>458</v>
      </c>
      <c r="Q28" s="5" t="s">
        <v>458</v>
      </c>
      <c r="R28" s="5" t="s">
        <v>458</v>
      </c>
      <c r="S28" s="5" t="s">
        <v>458</v>
      </c>
      <c r="T28" s="5" t="s">
        <v>458</v>
      </c>
      <c r="U28" s="5" t="s">
        <v>458</v>
      </c>
      <c r="V28" s="5" t="s">
        <v>458</v>
      </c>
      <c r="W28" s="5" t="s">
        <v>458</v>
      </c>
      <c r="X28" s="5" t="s">
        <v>458</v>
      </c>
      <c r="Y28" s="5" t="s">
        <v>458</v>
      </c>
      <c r="Z28" s="5" t="s">
        <v>458</v>
      </c>
      <c r="AA28" s="5" t="s">
        <v>458</v>
      </c>
      <c r="AB28" s="5" t="s">
        <v>458</v>
      </c>
      <c r="AC28" s="5" t="s">
        <v>458</v>
      </c>
      <c r="AD28" s="5" t="s">
        <v>458</v>
      </c>
      <c r="AE28" s="5" t="s">
        <v>458</v>
      </c>
      <c r="AF28" s="5" t="s">
        <v>458</v>
      </c>
      <c r="AG28" s="5" t="s">
        <v>458</v>
      </c>
      <c r="AH28" s="5" t="s">
        <v>458</v>
      </c>
      <c r="AI28" s="5" t="s">
        <v>458</v>
      </c>
      <c r="AJ28" s="5" t="s">
        <v>458</v>
      </c>
      <c r="AK28" s="5" t="s">
        <v>458</v>
      </c>
      <c r="AL28" s="5" t="s">
        <v>458</v>
      </c>
      <c r="AM28" s="5" t="s">
        <v>458</v>
      </c>
      <c r="AN28" s="5" t="s">
        <v>458</v>
      </c>
      <c r="AO28" s="5" t="s">
        <v>458</v>
      </c>
      <c r="AP28" s="5" t="s">
        <v>458</v>
      </c>
      <c r="AQ28" s="5" t="s">
        <v>458</v>
      </c>
      <c r="AR28" s="5" t="s">
        <v>458</v>
      </c>
      <c r="AS28" s="5" t="s">
        <v>458</v>
      </c>
      <c r="AT28" s="5" t="s">
        <v>458</v>
      </c>
      <c r="AU28" s="5" t="s">
        <v>458</v>
      </c>
      <c r="AV28" s="5" t="s">
        <v>458</v>
      </c>
      <c r="AW28" s="5" t="s">
        <v>458</v>
      </c>
      <c r="AX28" s="5" t="s">
        <v>458</v>
      </c>
      <c r="AY28" s="5" t="s">
        <v>458</v>
      </c>
      <c r="AZ28" s="5" t="s">
        <v>458</v>
      </c>
      <c r="BA28" s="5" t="s">
        <v>458</v>
      </c>
      <c r="BB28" s="5" t="s">
        <v>458</v>
      </c>
      <c r="BC28" s="5" t="s">
        <v>458</v>
      </c>
      <c r="BD28" s="5" t="s">
        <v>458</v>
      </c>
      <c r="BG28" s="3"/>
      <c r="BH28" s="3"/>
    </row>
    <row r="29" spans="1:60" x14ac:dyDescent="0.2">
      <c r="A29" s="21">
        <v>5</v>
      </c>
      <c r="B29" s="29">
        <v>26</v>
      </c>
      <c r="C29" s="29" t="s">
        <v>44</v>
      </c>
      <c r="D29">
        <v>1.7456400000000001</v>
      </c>
      <c r="E29">
        <v>26.433920000000001</v>
      </c>
      <c r="F29">
        <v>28.179549999999999</v>
      </c>
      <c r="G29">
        <v>33.665840000000003</v>
      </c>
      <c r="H29" t="s">
        <v>458</v>
      </c>
      <c r="I29" t="s">
        <v>458</v>
      </c>
      <c r="J29" t="s">
        <v>458</v>
      </c>
      <c r="K29" t="s">
        <v>458</v>
      </c>
      <c r="L29" t="s">
        <v>458</v>
      </c>
      <c r="M29" t="s">
        <v>458</v>
      </c>
      <c r="N29" t="s">
        <v>458</v>
      </c>
      <c r="O29" t="s">
        <v>458</v>
      </c>
      <c r="P29" s="5" t="s">
        <v>458</v>
      </c>
      <c r="Q29" s="5" t="s">
        <v>458</v>
      </c>
      <c r="R29" s="5" t="s">
        <v>458</v>
      </c>
      <c r="S29" s="5" t="s">
        <v>458</v>
      </c>
      <c r="T29" s="5" t="s">
        <v>458</v>
      </c>
      <c r="U29" t="s">
        <v>458</v>
      </c>
      <c r="V29" t="s">
        <v>458</v>
      </c>
      <c r="W29" t="s">
        <v>458</v>
      </c>
      <c r="X29" t="s">
        <v>458</v>
      </c>
      <c r="Y29" t="s">
        <v>458</v>
      </c>
      <c r="Z29" t="s">
        <v>458</v>
      </c>
      <c r="AA29" t="s">
        <v>458</v>
      </c>
      <c r="AB29" t="s">
        <v>458</v>
      </c>
      <c r="AC29" t="s">
        <v>458</v>
      </c>
      <c r="AD29" t="s">
        <v>458</v>
      </c>
      <c r="AE29" t="s">
        <v>458</v>
      </c>
      <c r="AF29" t="s">
        <v>458</v>
      </c>
      <c r="AG29" t="s">
        <v>458</v>
      </c>
      <c r="AH29" t="s">
        <v>458</v>
      </c>
      <c r="AI29" t="s">
        <v>458</v>
      </c>
      <c r="AJ29" t="s">
        <v>458</v>
      </c>
      <c r="AK29" t="s">
        <v>458</v>
      </c>
      <c r="AL29" t="s">
        <v>458</v>
      </c>
      <c r="AM29" t="s">
        <v>458</v>
      </c>
      <c r="AN29" t="s">
        <v>458</v>
      </c>
      <c r="AO29" t="s">
        <v>458</v>
      </c>
      <c r="AP29" t="s">
        <v>458</v>
      </c>
      <c r="AQ29" t="s">
        <v>458</v>
      </c>
      <c r="AR29" t="s">
        <v>458</v>
      </c>
      <c r="AS29" t="s">
        <v>458</v>
      </c>
      <c r="AT29" t="s">
        <v>458</v>
      </c>
      <c r="AU29" t="s">
        <v>458</v>
      </c>
      <c r="AV29" t="s">
        <v>458</v>
      </c>
      <c r="AW29" t="s">
        <v>458</v>
      </c>
      <c r="AX29" t="s">
        <v>458</v>
      </c>
      <c r="AY29" t="s">
        <v>458</v>
      </c>
      <c r="AZ29" t="s">
        <v>458</v>
      </c>
      <c r="BA29" t="s">
        <v>458</v>
      </c>
      <c r="BB29" t="s">
        <v>458</v>
      </c>
      <c r="BC29" t="s">
        <v>458</v>
      </c>
      <c r="BD29" t="s">
        <v>458</v>
      </c>
      <c r="BG29" s="3"/>
      <c r="BH29" s="3"/>
    </row>
    <row r="30" spans="1:60" x14ac:dyDescent="0.2">
      <c r="A30" s="21">
        <v>5</v>
      </c>
      <c r="B30" s="29">
        <v>27</v>
      </c>
      <c r="C30" s="29" t="s">
        <v>44</v>
      </c>
      <c r="D30">
        <v>1.4962599999999999</v>
      </c>
      <c r="E30">
        <v>30.67332</v>
      </c>
      <c r="F30">
        <v>33.915210000000002</v>
      </c>
      <c r="G30">
        <v>38.40399</v>
      </c>
      <c r="H30" s="314" t="s">
        <v>458</v>
      </c>
      <c r="I30" s="314" t="s">
        <v>458</v>
      </c>
      <c r="J30" s="314" t="s">
        <v>458</v>
      </c>
      <c r="K30" s="314" t="s">
        <v>458</v>
      </c>
      <c r="L30" s="314" t="s">
        <v>458</v>
      </c>
      <c r="M30" s="314" t="s">
        <v>458</v>
      </c>
      <c r="N30" s="314" t="s">
        <v>458</v>
      </c>
      <c r="O30" s="314" t="s">
        <v>458</v>
      </c>
      <c r="P30" s="5" t="s">
        <v>458</v>
      </c>
      <c r="Q30" s="5" t="s">
        <v>458</v>
      </c>
      <c r="R30" s="5" t="s">
        <v>458</v>
      </c>
      <c r="S30" s="5" t="s">
        <v>458</v>
      </c>
      <c r="T30" s="5" t="s">
        <v>458</v>
      </c>
      <c r="U30" s="5" t="s">
        <v>458</v>
      </c>
      <c r="V30" s="5" t="s">
        <v>458</v>
      </c>
      <c r="W30" s="5" t="s">
        <v>458</v>
      </c>
      <c r="X30" s="5" t="s">
        <v>458</v>
      </c>
      <c r="Y30" s="5" t="s">
        <v>458</v>
      </c>
      <c r="Z30" s="5" t="s">
        <v>458</v>
      </c>
      <c r="AA30" s="5" t="s">
        <v>458</v>
      </c>
      <c r="AB30" s="5" t="s">
        <v>458</v>
      </c>
      <c r="AC30" s="5" t="s">
        <v>458</v>
      </c>
      <c r="AD30" s="5" t="s">
        <v>458</v>
      </c>
      <c r="AE30" s="5" t="s">
        <v>458</v>
      </c>
      <c r="AF30" s="5" t="s">
        <v>458</v>
      </c>
      <c r="AG30" s="5" t="s">
        <v>458</v>
      </c>
      <c r="AH30" s="5" t="s">
        <v>458</v>
      </c>
      <c r="AI30" s="5" t="s">
        <v>458</v>
      </c>
      <c r="AJ30" s="5" t="s">
        <v>458</v>
      </c>
      <c r="AK30" s="5" t="s">
        <v>458</v>
      </c>
      <c r="AL30" s="5" t="s">
        <v>458</v>
      </c>
      <c r="AM30" s="5" t="s">
        <v>458</v>
      </c>
      <c r="AN30" s="5" t="s">
        <v>458</v>
      </c>
      <c r="AO30" s="5" t="s">
        <v>458</v>
      </c>
      <c r="AP30" s="5" t="s">
        <v>458</v>
      </c>
      <c r="AQ30" s="5" t="s">
        <v>458</v>
      </c>
      <c r="AR30" s="5" t="s">
        <v>458</v>
      </c>
      <c r="AS30" s="5" t="s">
        <v>458</v>
      </c>
      <c r="AT30" s="5" t="s">
        <v>458</v>
      </c>
      <c r="AU30" s="5" t="s">
        <v>458</v>
      </c>
      <c r="AV30" s="5" t="s">
        <v>458</v>
      </c>
      <c r="AW30" s="5" t="s">
        <v>458</v>
      </c>
      <c r="AX30" s="5" t="s">
        <v>458</v>
      </c>
      <c r="AY30" s="5" t="s">
        <v>458</v>
      </c>
      <c r="AZ30" s="5" t="s">
        <v>458</v>
      </c>
      <c r="BA30" s="5" t="s">
        <v>458</v>
      </c>
      <c r="BB30" s="5" t="s">
        <v>458</v>
      </c>
      <c r="BC30" s="5" t="s">
        <v>458</v>
      </c>
      <c r="BD30" s="5" t="s">
        <v>458</v>
      </c>
      <c r="BG30" s="3"/>
      <c r="BH30" s="3"/>
    </row>
    <row r="31" spans="1:60" x14ac:dyDescent="0.2">
      <c r="A31" s="21">
        <v>5</v>
      </c>
      <c r="B31" s="29">
        <v>28</v>
      </c>
      <c r="C31" s="29" t="s">
        <v>44</v>
      </c>
      <c r="D31">
        <v>4.2393999999999998</v>
      </c>
      <c r="E31">
        <v>30.67332</v>
      </c>
      <c r="F31">
        <v>38.653370000000002</v>
      </c>
      <c r="G31">
        <v>53.865340000000003</v>
      </c>
      <c r="H31" s="314" t="s">
        <v>458</v>
      </c>
      <c r="I31" s="314" t="s">
        <v>458</v>
      </c>
      <c r="J31" s="314" t="s">
        <v>458</v>
      </c>
      <c r="K31" s="314" t="s">
        <v>458</v>
      </c>
      <c r="L31" s="314" t="s">
        <v>458</v>
      </c>
      <c r="M31" s="314" t="s">
        <v>458</v>
      </c>
      <c r="N31" s="314" t="s">
        <v>458</v>
      </c>
      <c r="O31" s="314" t="s">
        <v>458</v>
      </c>
      <c r="P31" s="5" t="s">
        <v>458</v>
      </c>
      <c r="Q31" s="5" t="s">
        <v>458</v>
      </c>
      <c r="R31" s="5" t="s">
        <v>458</v>
      </c>
      <c r="S31" s="5" t="s">
        <v>458</v>
      </c>
      <c r="T31" s="5" t="s">
        <v>458</v>
      </c>
      <c r="U31" s="5" t="s">
        <v>458</v>
      </c>
      <c r="V31" s="5" t="s">
        <v>458</v>
      </c>
      <c r="W31" s="5" t="s">
        <v>458</v>
      </c>
      <c r="X31" s="5" t="s">
        <v>458</v>
      </c>
      <c r="Y31" s="5" t="s">
        <v>458</v>
      </c>
      <c r="Z31" s="5" t="s">
        <v>458</v>
      </c>
      <c r="AA31" s="5" t="s">
        <v>458</v>
      </c>
      <c r="AB31" s="5" t="s">
        <v>458</v>
      </c>
      <c r="AC31" s="5" t="s">
        <v>458</v>
      </c>
      <c r="AD31" s="5" t="s">
        <v>458</v>
      </c>
      <c r="AE31" s="5" t="s">
        <v>458</v>
      </c>
      <c r="AF31" s="5" t="s">
        <v>458</v>
      </c>
      <c r="AG31" s="5" t="s">
        <v>458</v>
      </c>
      <c r="AH31" s="5" t="s">
        <v>458</v>
      </c>
      <c r="AI31" s="5" t="s">
        <v>458</v>
      </c>
      <c r="AJ31" s="5" t="s">
        <v>458</v>
      </c>
      <c r="AK31" s="5" t="s">
        <v>458</v>
      </c>
      <c r="AL31" s="5" t="s">
        <v>458</v>
      </c>
      <c r="AM31" s="5" t="s">
        <v>458</v>
      </c>
      <c r="AN31" s="5" t="s">
        <v>458</v>
      </c>
      <c r="AO31" s="5" t="s">
        <v>458</v>
      </c>
      <c r="AP31" s="5" t="s">
        <v>458</v>
      </c>
      <c r="AQ31" s="5" t="s">
        <v>458</v>
      </c>
      <c r="AR31" s="5" t="s">
        <v>458</v>
      </c>
      <c r="AS31" s="5" t="s">
        <v>458</v>
      </c>
      <c r="AT31" s="5" t="s">
        <v>458</v>
      </c>
      <c r="AU31" s="5" t="s">
        <v>458</v>
      </c>
      <c r="AV31" s="5" t="s">
        <v>458</v>
      </c>
      <c r="AW31" s="5" t="s">
        <v>458</v>
      </c>
      <c r="AX31" s="5" t="s">
        <v>458</v>
      </c>
      <c r="AY31" s="5" t="s">
        <v>458</v>
      </c>
      <c r="AZ31" s="5" t="s">
        <v>458</v>
      </c>
      <c r="BA31" s="5" t="s">
        <v>458</v>
      </c>
      <c r="BB31" s="5" t="s">
        <v>458</v>
      </c>
      <c r="BC31" s="5" t="s">
        <v>458</v>
      </c>
      <c r="BD31" s="5" t="s">
        <v>458</v>
      </c>
      <c r="BG31" s="3"/>
      <c r="BH31" s="3"/>
    </row>
    <row r="32" spans="1:60" x14ac:dyDescent="0.2">
      <c r="A32" s="21">
        <v>5</v>
      </c>
      <c r="B32" s="29">
        <v>29</v>
      </c>
      <c r="C32" s="29" t="s">
        <v>44</v>
      </c>
      <c r="D32">
        <v>6.2344099999999996</v>
      </c>
      <c r="E32">
        <v>37.655859999999997</v>
      </c>
      <c r="F32">
        <v>45.635910000000003</v>
      </c>
      <c r="G32">
        <v>63.59102</v>
      </c>
      <c r="H32" s="314" t="s">
        <v>458</v>
      </c>
      <c r="I32" s="314" t="s">
        <v>458</v>
      </c>
      <c r="J32" s="314" t="s">
        <v>458</v>
      </c>
      <c r="K32" s="314" t="s">
        <v>458</v>
      </c>
      <c r="L32" s="314" t="s">
        <v>458</v>
      </c>
      <c r="M32" s="314" t="s">
        <v>458</v>
      </c>
      <c r="N32" s="314" t="s">
        <v>458</v>
      </c>
      <c r="O32" s="314" t="s">
        <v>458</v>
      </c>
      <c r="P32" s="5" t="s">
        <v>458</v>
      </c>
      <c r="Q32" s="5" t="s">
        <v>458</v>
      </c>
      <c r="R32" s="5" t="s">
        <v>458</v>
      </c>
      <c r="S32" s="5" t="s">
        <v>458</v>
      </c>
      <c r="T32" s="5" t="s">
        <v>458</v>
      </c>
      <c r="U32" s="5" t="s">
        <v>458</v>
      </c>
      <c r="V32" s="5" t="s">
        <v>458</v>
      </c>
      <c r="W32" s="5" t="s">
        <v>458</v>
      </c>
      <c r="X32" s="5" t="s">
        <v>458</v>
      </c>
      <c r="Y32" s="5" t="s">
        <v>458</v>
      </c>
      <c r="Z32" s="5" t="s">
        <v>458</v>
      </c>
      <c r="AA32" s="5" t="s">
        <v>458</v>
      </c>
      <c r="AB32" s="5" t="s">
        <v>458</v>
      </c>
      <c r="AC32" s="5" t="s">
        <v>458</v>
      </c>
      <c r="AD32" s="5" t="s">
        <v>458</v>
      </c>
      <c r="AE32" s="5" t="s">
        <v>458</v>
      </c>
      <c r="AF32" s="5" t="s">
        <v>458</v>
      </c>
      <c r="AG32" s="5" t="s">
        <v>458</v>
      </c>
      <c r="AH32" s="5" t="s">
        <v>458</v>
      </c>
      <c r="AI32" s="5" t="s">
        <v>458</v>
      </c>
      <c r="AJ32" s="5" t="s">
        <v>458</v>
      </c>
      <c r="AK32" s="5" t="s">
        <v>458</v>
      </c>
      <c r="AL32" s="5" t="s">
        <v>458</v>
      </c>
      <c r="AM32" s="5" t="s">
        <v>458</v>
      </c>
      <c r="AN32" s="5" t="s">
        <v>458</v>
      </c>
      <c r="AO32" s="5" t="s">
        <v>458</v>
      </c>
      <c r="AP32" s="5" t="s">
        <v>458</v>
      </c>
      <c r="AQ32" s="5" t="s">
        <v>458</v>
      </c>
      <c r="AR32" s="5" t="s">
        <v>458</v>
      </c>
      <c r="AS32" s="5" t="s">
        <v>458</v>
      </c>
      <c r="AT32" s="5" t="s">
        <v>458</v>
      </c>
      <c r="AU32" s="5" t="s">
        <v>458</v>
      </c>
      <c r="AV32" s="5" t="s">
        <v>458</v>
      </c>
      <c r="AW32" s="5" t="s">
        <v>458</v>
      </c>
      <c r="AX32" s="5" t="s">
        <v>458</v>
      </c>
      <c r="AY32" s="5" t="s">
        <v>458</v>
      </c>
      <c r="AZ32" s="5" t="s">
        <v>458</v>
      </c>
      <c r="BA32" s="5" t="s">
        <v>458</v>
      </c>
      <c r="BB32" s="5" t="s">
        <v>458</v>
      </c>
      <c r="BC32" s="5" t="s">
        <v>458</v>
      </c>
      <c r="BD32" s="5" t="s">
        <v>458</v>
      </c>
      <c r="BG32" s="3"/>
      <c r="BH32" s="3"/>
    </row>
    <row r="33" spans="1:60" x14ac:dyDescent="0.2">
      <c r="A33" s="21">
        <v>5</v>
      </c>
      <c r="B33" s="29">
        <v>30</v>
      </c>
      <c r="C33" s="29" t="s">
        <v>44</v>
      </c>
      <c r="D33">
        <v>17.705739999999999</v>
      </c>
      <c r="E33">
        <v>51.87032</v>
      </c>
      <c r="F33">
        <v>74.563590000000005</v>
      </c>
      <c r="G33">
        <v>78.054860000000005</v>
      </c>
      <c r="H33" s="314" t="s">
        <v>458</v>
      </c>
      <c r="I33" s="314" t="s">
        <v>458</v>
      </c>
      <c r="J33" s="314" t="s">
        <v>458</v>
      </c>
      <c r="K33" s="314" t="s">
        <v>458</v>
      </c>
      <c r="L33" s="314" t="s">
        <v>458</v>
      </c>
      <c r="M33" s="314" t="s">
        <v>458</v>
      </c>
      <c r="N33" s="314" t="s">
        <v>458</v>
      </c>
      <c r="O33" s="314" t="s">
        <v>458</v>
      </c>
      <c r="P33" s="5" t="s">
        <v>458</v>
      </c>
      <c r="Q33" s="5" t="s">
        <v>458</v>
      </c>
      <c r="R33" s="5" t="s">
        <v>458</v>
      </c>
      <c r="S33" s="5" t="s">
        <v>458</v>
      </c>
      <c r="T33" s="5" t="s">
        <v>458</v>
      </c>
      <c r="U33" s="5" t="s">
        <v>458</v>
      </c>
      <c r="V33" s="5" t="s">
        <v>458</v>
      </c>
      <c r="W33" s="5" t="s">
        <v>458</v>
      </c>
      <c r="X33" s="5" t="s">
        <v>458</v>
      </c>
      <c r="Y33" s="5" t="s">
        <v>458</v>
      </c>
      <c r="Z33" s="5" t="s">
        <v>458</v>
      </c>
      <c r="AA33" s="5" t="s">
        <v>458</v>
      </c>
      <c r="AB33" s="5" t="s">
        <v>458</v>
      </c>
      <c r="AC33" s="5" t="s">
        <v>458</v>
      </c>
      <c r="AD33" s="5" t="s">
        <v>458</v>
      </c>
      <c r="AE33" s="5" t="s">
        <v>458</v>
      </c>
      <c r="AF33" s="5" t="s">
        <v>458</v>
      </c>
      <c r="AG33" s="5" t="s">
        <v>458</v>
      </c>
      <c r="AH33" s="5" t="s">
        <v>458</v>
      </c>
      <c r="AI33" s="5" t="s">
        <v>458</v>
      </c>
      <c r="AJ33" s="5" t="s">
        <v>458</v>
      </c>
      <c r="AK33" s="5" t="s">
        <v>458</v>
      </c>
      <c r="AL33" s="5" t="s">
        <v>458</v>
      </c>
      <c r="AM33" s="5" t="s">
        <v>458</v>
      </c>
      <c r="AN33" s="5" t="s">
        <v>458</v>
      </c>
      <c r="AO33" s="5" t="s">
        <v>458</v>
      </c>
      <c r="AP33" s="5" t="s">
        <v>458</v>
      </c>
      <c r="AQ33" s="5" t="s">
        <v>458</v>
      </c>
      <c r="AR33" s="5" t="s">
        <v>458</v>
      </c>
      <c r="AS33" s="5" t="s">
        <v>458</v>
      </c>
      <c r="AT33" s="5" t="s">
        <v>458</v>
      </c>
      <c r="AU33" s="5" t="s">
        <v>458</v>
      </c>
      <c r="AV33" s="5" t="s">
        <v>458</v>
      </c>
      <c r="AW33" s="5" t="s">
        <v>458</v>
      </c>
      <c r="AX33" s="5" t="s">
        <v>458</v>
      </c>
      <c r="AY33" s="5" t="s">
        <v>458</v>
      </c>
      <c r="AZ33" s="5" t="s">
        <v>458</v>
      </c>
      <c r="BA33" s="5" t="s">
        <v>458</v>
      </c>
      <c r="BB33" s="5" t="s">
        <v>458</v>
      </c>
      <c r="BC33" s="5" t="s">
        <v>458</v>
      </c>
      <c r="BD33" s="5" t="s">
        <v>458</v>
      </c>
      <c r="BG33" s="3"/>
      <c r="BH33" s="3"/>
    </row>
    <row r="34" spans="1:60" x14ac:dyDescent="0.2">
      <c r="A34" s="21">
        <v>5</v>
      </c>
      <c r="B34" s="29">
        <v>31</v>
      </c>
      <c r="C34" s="29" t="s">
        <v>44</v>
      </c>
      <c r="D34">
        <v>19.451370000000001</v>
      </c>
      <c r="E34">
        <v>68.079800000000006</v>
      </c>
      <c r="F34">
        <v>99.501249999999999</v>
      </c>
      <c r="G34">
        <v>99.750619999999998</v>
      </c>
      <c r="H34" s="314" t="s">
        <v>458</v>
      </c>
      <c r="I34" s="314" t="s">
        <v>458</v>
      </c>
      <c r="J34" s="314" t="s">
        <v>458</v>
      </c>
      <c r="K34" s="314" t="s">
        <v>458</v>
      </c>
      <c r="L34" s="314" t="s">
        <v>458</v>
      </c>
      <c r="M34" s="314" t="s">
        <v>458</v>
      </c>
      <c r="N34" s="314" t="s">
        <v>458</v>
      </c>
      <c r="O34" s="314" t="s">
        <v>458</v>
      </c>
      <c r="P34" s="5" t="s">
        <v>458</v>
      </c>
      <c r="Q34" s="5" t="s">
        <v>458</v>
      </c>
      <c r="R34" s="5" t="s">
        <v>458</v>
      </c>
      <c r="S34" s="5" t="s">
        <v>458</v>
      </c>
      <c r="T34" s="5" t="s">
        <v>458</v>
      </c>
      <c r="U34" s="5" t="s">
        <v>458</v>
      </c>
      <c r="V34" s="5" t="s">
        <v>458</v>
      </c>
      <c r="W34" s="5" t="s">
        <v>458</v>
      </c>
      <c r="X34" s="5" t="s">
        <v>458</v>
      </c>
      <c r="Y34" s="5" t="s">
        <v>458</v>
      </c>
      <c r="Z34" s="5" t="s">
        <v>458</v>
      </c>
      <c r="AA34" s="5" t="s">
        <v>458</v>
      </c>
      <c r="AB34" s="5" t="s">
        <v>458</v>
      </c>
      <c r="AC34" s="5" t="s">
        <v>458</v>
      </c>
      <c r="AD34" s="5" t="s">
        <v>458</v>
      </c>
      <c r="AE34" s="5" t="s">
        <v>458</v>
      </c>
      <c r="AF34" s="5" t="s">
        <v>458</v>
      </c>
      <c r="AG34" s="5" t="s">
        <v>458</v>
      </c>
      <c r="AH34" s="5" t="s">
        <v>458</v>
      </c>
      <c r="AI34" s="5" t="s">
        <v>458</v>
      </c>
      <c r="AJ34" s="5" t="s">
        <v>458</v>
      </c>
      <c r="AK34" s="5" t="s">
        <v>458</v>
      </c>
      <c r="AL34" s="5" t="s">
        <v>458</v>
      </c>
      <c r="AM34" s="5" t="s">
        <v>458</v>
      </c>
      <c r="AN34" s="5" t="s">
        <v>458</v>
      </c>
      <c r="AO34" s="5" t="s">
        <v>458</v>
      </c>
      <c r="AP34" s="5" t="s">
        <v>458</v>
      </c>
      <c r="AQ34" s="5" t="s">
        <v>458</v>
      </c>
      <c r="AR34" s="5" t="s">
        <v>458</v>
      </c>
      <c r="AS34" s="5" t="s">
        <v>458</v>
      </c>
      <c r="AT34" s="5" t="s">
        <v>458</v>
      </c>
      <c r="AU34" s="5" t="s">
        <v>458</v>
      </c>
      <c r="AV34" s="5" t="s">
        <v>458</v>
      </c>
      <c r="AW34" s="5" t="s">
        <v>458</v>
      </c>
      <c r="AX34" s="5" t="s">
        <v>458</v>
      </c>
      <c r="AY34" s="5" t="s">
        <v>458</v>
      </c>
      <c r="AZ34" s="5" t="s">
        <v>458</v>
      </c>
      <c r="BA34" s="5" t="s">
        <v>458</v>
      </c>
      <c r="BB34" s="5" t="s">
        <v>458</v>
      </c>
      <c r="BC34" s="5" t="s">
        <v>458</v>
      </c>
      <c r="BD34" s="5" t="s">
        <v>458</v>
      </c>
      <c r="BG34" s="3"/>
      <c r="BH34" s="3"/>
    </row>
    <row r="35" spans="1:60" x14ac:dyDescent="0.2">
      <c r="A35" s="21">
        <v>5</v>
      </c>
      <c r="B35" s="29">
        <v>32</v>
      </c>
      <c r="C35" s="29" t="s">
        <v>44</v>
      </c>
      <c r="D35">
        <v>31.42145</v>
      </c>
      <c r="E35">
        <v>71.820449999999994</v>
      </c>
      <c r="F35">
        <v>99.750619999999998</v>
      </c>
      <c r="G35">
        <v>99.750619999999998</v>
      </c>
      <c r="H35" s="314" t="s">
        <v>458</v>
      </c>
      <c r="I35" s="314" t="s">
        <v>458</v>
      </c>
      <c r="J35" s="314" t="s">
        <v>458</v>
      </c>
      <c r="K35" s="314" t="s">
        <v>458</v>
      </c>
      <c r="L35" s="314" t="s">
        <v>458</v>
      </c>
      <c r="M35" s="314" t="s">
        <v>458</v>
      </c>
      <c r="N35" s="314" t="s">
        <v>458</v>
      </c>
      <c r="O35" s="314" t="s">
        <v>458</v>
      </c>
      <c r="P35" s="5" t="s">
        <v>458</v>
      </c>
      <c r="Q35" s="5" t="s">
        <v>458</v>
      </c>
      <c r="R35" s="5" t="s">
        <v>458</v>
      </c>
      <c r="S35" s="5" t="s">
        <v>458</v>
      </c>
      <c r="T35" s="5" t="s">
        <v>458</v>
      </c>
      <c r="U35" s="5" t="s">
        <v>458</v>
      </c>
      <c r="V35" s="5" t="s">
        <v>458</v>
      </c>
      <c r="W35" s="5" t="s">
        <v>458</v>
      </c>
      <c r="X35" s="5" t="s">
        <v>458</v>
      </c>
      <c r="Y35" s="5" t="s">
        <v>458</v>
      </c>
      <c r="Z35" s="5" t="s">
        <v>458</v>
      </c>
      <c r="AA35" s="5" t="s">
        <v>458</v>
      </c>
      <c r="AB35" s="5" t="s">
        <v>458</v>
      </c>
      <c r="AC35" s="5" t="s">
        <v>458</v>
      </c>
      <c r="AD35" s="5" t="s">
        <v>458</v>
      </c>
      <c r="AE35" s="5" t="s">
        <v>458</v>
      </c>
      <c r="AF35" s="5" t="s">
        <v>458</v>
      </c>
      <c r="AG35" s="5" t="s">
        <v>458</v>
      </c>
      <c r="AH35" s="5" t="s">
        <v>458</v>
      </c>
      <c r="AI35" s="5" t="s">
        <v>458</v>
      </c>
      <c r="AJ35" s="5" t="s">
        <v>458</v>
      </c>
      <c r="AK35" s="5" t="s">
        <v>458</v>
      </c>
      <c r="AL35" s="5" t="s">
        <v>458</v>
      </c>
      <c r="AM35" s="5" t="s">
        <v>458</v>
      </c>
      <c r="AN35" s="5" t="s">
        <v>458</v>
      </c>
      <c r="AO35" s="5" t="s">
        <v>458</v>
      </c>
      <c r="AP35" s="5" t="s">
        <v>458</v>
      </c>
      <c r="AQ35" s="5" t="s">
        <v>458</v>
      </c>
      <c r="AR35" s="5" t="s">
        <v>458</v>
      </c>
      <c r="AS35" s="5" t="s">
        <v>458</v>
      </c>
      <c r="AT35" s="5" t="s">
        <v>458</v>
      </c>
      <c r="AU35" s="5" t="s">
        <v>458</v>
      </c>
      <c r="AV35" s="5" t="s">
        <v>458</v>
      </c>
      <c r="AW35" s="5" t="s">
        <v>458</v>
      </c>
      <c r="AX35" s="5" t="s">
        <v>458</v>
      </c>
      <c r="AY35" s="5" t="s">
        <v>458</v>
      </c>
      <c r="AZ35" s="5" t="s">
        <v>458</v>
      </c>
      <c r="BA35" s="5" t="s">
        <v>458</v>
      </c>
      <c r="BB35" s="5" t="s">
        <v>458</v>
      </c>
      <c r="BC35" s="5" t="s">
        <v>458</v>
      </c>
      <c r="BD35" s="5" t="s">
        <v>458</v>
      </c>
      <c r="BG35" s="3"/>
      <c r="BH35" s="3"/>
    </row>
    <row r="36" spans="1:60" x14ac:dyDescent="0.2">
      <c r="A36" s="21">
        <v>5</v>
      </c>
      <c r="B36" s="29">
        <v>33</v>
      </c>
      <c r="C36" s="29" t="s">
        <v>162</v>
      </c>
      <c r="D36">
        <v>0.523567</v>
      </c>
      <c r="E36">
        <v>8.7939699999999998</v>
      </c>
      <c r="F36">
        <v>14.070349999999999</v>
      </c>
      <c r="G36">
        <v>21.105530000000002</v>
      </c>
      <c r="H36" s="314" t="s">
        <v>458</v>
      </c>
      <c r="I36" s="314" t="s">
        <v>458</v>
      </c>
      <c r="J36" s="314" t="s">
        <v>458</v>
      </c>
      <c r="K36" s="314" t="s">
        <v>458</v>
      </c>
      <c r="L36" s="314" t="s">
        <v>458</v>
      </c>
      <c r="M36" s="314" t="s">
        <v>458</v>
      </c>
      <c r="N36" s="314" t="s">
        <v>458</v>
      </c>
      <c r="O36" s="314" t="s">
        <v>458</v>
      </c>
      <c r="P36" s="5" t="s">
        <v>458</v>
      </c>
      <c r="Q36" s="5" t="s">
        <v>458</v>
      </c>
      <c r="R36" s="5" t="s">
        <v>458</v>
      </c>
      <c r="S36" s="5" t="s">
        <v>458</v>
      </c>
      <c r="T36" s="5" t="s">
        <v>458</v>
      </c>
      <c r="U36" s="5" t="s">
        <v>458</v>
      </c>
      <c r="V36" s="5" t="s">
        <v>458</v>
      </c>
      <c r="W36" s="5" t="s">
        <v>458</v>
      </c>
      <c r="X36" s="5" t="s">
        <v>458</v>
      </c>
      <c r="Y36" s="5" t="s">
        <v>458</v>
      </c>
      <c r="Z36" s="5" t="s">
        <v>458</v>
      </c>
      <c r="AA36" s="5" t="s">
        <v>458</v>
      </c>
      <c r="AB36" s="5" t="s">
        <v>458</v>
      </c>
      <c r="AC36" s="5" t="s">
        <v>458</v>
      </c>
      <c r="AD36" s="5" t="s">
        <v>458</v>
      </c>
      <c r="AE36" s="5" t="s">
        <v>458</v>
      </c>
      <c r="AF36" s="5" t="s">
        <v>458</v>
      </c>
      <c r="AG36" s="5" t="s">
        <v>458</v>
      </c>
      <c r="AH36" s="5" t="s">
        <v>458</v>
      </c>
      <c r="AI36" s="5" t="s">
        <v>458</v>
      </c>
      <c r="AJ36" s="5" t="s">
        <v>458</v>
      </c>
      <c r="AK36" s="5" t="s">
        <v>458</v>
      </c>
      <c r="AL36" s="5" t="s">
        <v>458</v>
      </c>
      <c r="AM36" s="5" t="s">
        <v>458</v>
      </c>
      <c r="AN36" s="5" t="s">
        <v>458</v>
      </c>
      <c r="AO36" s="5" t="s">
        <v>458</v>
      </c>
      <c r="AP36" s="5" t="s">
        <v>458</v>
      </c>
      <c r="AQ36" s="5" t="s">
        <v>458</v>
      </c>
      <c r="AR36" s="5" t="s">
        <v>458</v>
      </c>
      <c r="AS36" s="5" t="s">
        <v>458</v>
      </c>
      <c r="AT36" s="5" t="s">
        <v>458</v>
      </c>
      <c r="AU36" s="5" t="s">
        <v>458</v>
      </c>
      <c r="AV36" s="5" t="s">
        <v>458</v>
      </c>
      <c r="AW36" s="5" t="s">
        <v>458</v>
      </c>
      <c r="AX36" s="5" t="s">
        <v>458</v>
      </c>
      <c r="AY36" s="5" t="s">
        <v>458</v>
      </c>
      <c r="AZ36" s="5" t="s">
        <v>458</v>
      </c>
      <c r="BA36" s="5" t="s">
        <v>458</v>
      </c>
      <c r="BB36" s="5" t="s">
        <v>458</v>
      </c>
      <c r="BC36" s="5" t="s">
        <v>458</v>
      </c>
      <c r="BD36" s="5" t="s">
        <v>458</v>
      </c>
      <c r="BG36" s="3"/>
      <c r="BH36" s="3"/>
    </row>
    <row r="37" spans="1:60" x14ac:dyDescent="0.2">
      <c r="A37" s="21">
        <v>5</v>
      </c>
      <c r="B37" s="29">
        <v>34</v>
      </c>
      <c r="C37" s="29" t="s">
        <v>45</v>
      </c>
      <c r="D37">
        <v>1.0050300000000001</v>
      </c>
      <c r="E37">
        <v>1.25126</v>
      </c>
      <c r="F37">
        <v>11.05528</v>
      </c>
      <c r="G37">
        <v>14.32161</v>
      </c>
      <c r="H37" s="314" t="s">
        <v>458</v>
      </c>
      <c r="I37" s="314" t="s">
        <v>458</v>
      </c>
      <c r="J37" s="314" t="s">
        <v>458</v>
      </c>
      <c r="K37" s="314" t="s">
        <v>458</v>
      </c>
      <c r="L37" s="314" t="s">
        <v>458</v>
      </c>
      <c r="M37" s="314" t="s">
        <v>458</v>
      </c>
      <c r="N37" s="314" t="s">
        <v>458</v>
      </c>
      <c r="O37" s="314" t="s">
        <v>458</v>
      </c>
      <c r="P37" s="5" t="s">
        <v>458</v>
      </c>
      <c r="Q37" s="5" t="s">
        <v>458</v>
      </c>
      <c r="R37" s="5" t="s">
        <v>458</v>
      </c>
      <c r="S37" s="5" t="s">
        <v>458</v>
      </c>
      <c r="T37" s="5" t="s">
        <v>458</v>
      </c>
      <c r="U37" s="5" t="s">
        <v>458</v>
      </c>
      <c r="V37" s="5" t="s">
        <v>458</v>
      </c>
      <c r="W37" s="5" t="s">
        <v>458</v>
      </c>
      <c r="X37" s="5" t="s">
        <v>458</v>
      </c>
      <c r="Y37" s="5" t="s">
        <v>458</v>
      </c>
      <c r="Z37" s="5" t="s">
        <v>458</v>
      </c>
      <c r="AA37" s="5" t="s">
        <v>458</v>
      </c>
      <c r="AB37" s="5" t="s">
        <v>458</v>
      </c>
      <c r="AC37" s="5" t="s">
        <v>458</v>
      </c>
      <c r="AD37" s="5" t="s">
        <v>458</v>
      </c>
      <c r="AE37" s="5" t="s">
        <v>458</v>
      </c>
      <c r="AF37" s="5" t="s">
        <v>458</v>
      </c>
      <c r="AG37" s="5" t="s">
        <v>458</v>
      </c>
      <c r="AH37" s="5" t="s">
        <v>458</v>
      </c>
      <c r="AI37" s="5" t="s">
        <v>458</v>
      </c>
      <c r="AJ37" s="5" t="s">
        <v>458</v>
      </c>
      <c r="AK37" s="5" t="s">
        <v>458</v>
      </c>
      <c r="AL37" s="5" t="s">
        <v>458</v>
      </c>
      <c r="AM37" s="5" t="s">
        <v>458</v>
      </c>
      <c r="AN37" s="5" t="s">
        <v>458</v>
      </c>
      <c r="AO37" s="5" t="s">
        <v>458</v>
      </c>
      <c r="AP37" s="5" t="s">
        <v>458</v>
      </c>
      <c r="AQ37" s="5" t="s">
        <v>458</v>
      </c>
      <c r="AR37" s="5" t="s">
        <v>458</v>
      </c>
      <c r="AS37" s="5" t="s">
        <v>458</v>
      </c>
      <c r="AT37" s="5" t="s">
        <v>458</v>
      </c>
      <c r="AU37" s="5" t="s">
        <v>458</v>
      </c>
      <c r="AV37" s="5" t="s">
        <v>458</v>
      </c>
      <c r="AW37" s="5" t="s">
        <v>458</v>
      </c>
      <c r="AX37" s="5" t="s">
        <v>458</v>
      </c>
      <c r="AY37" s="5" t="s">
        <v>458</v>
      </c>
      <c r="AZ37" s="5" t="s">
        <v>458</v>
      </c>
      <c r="BA37" s="5" t="s">
        <v>458</v>
      </c>
      <c r="BB37" s="5" t="s">
        <v>458</v>
      </c>
      <c r="BC37" s="5" t="s">
        <v>458</v>
      </c>
      <c r="BD37" s="5" t="s">
        <v>458</v>
      </c>
      <c r="BG37" s="3"/>
      <c r="BH37" s="3"/>
    </row>
    <row r="38" spans="1:60" x14ac:dyDescent="0.2">
      <c r="A38" s="8">
        <v>5</v>
      </c>
      <c r="B38" s="8">
        <v>35</v>
      </c>
      <c r="C38" s="8" t="s">
        <v>45</v>
      </c>
      <c r="D38">
        <v>1.2562800000000001</v>
      </c>
      <c r="E38">
        <v>1.5075400000000001</v>
      </c>
      <c r="F38">
        <v>13.31658</v>
      </c>
      <c r="G38">
        <v>21.356780000000001</v>
      </c>
      <c r="H38" t="s">
        <v>458</v>
      </c>
      <c r="I38" t="s">
        <v>458</v>
      </c>
      <c r="J38" t="s">
        <v>458</v>
      </c>
      <c r="K38" t="s">
        <v>458</v>
      </c>
      <c r="L38" t="s">
        <v>458</v>
      </c>
      <c r="M38" t="s">
        <v>458</v>
      </c>
      <c r="N38" t="s">
        <v>458</v>
      </c>
      <c r="O38" t="s">
        <v>458</v>
      </c>
      <c r="P38" s="5" t="s">
        <v>458</v>
      </c>
      <c r="Q38" s="5" t="s">
        <v>458</v>
      </c>
      <c r="R38" s="5" t="s">
        <v>458</v>
      </c>
      <c r="S38" s="5" t="s">
        <v>458</v>
      </c>
      <c r="T38" s="5" t="s">
        <v>458</v>
      </c>
      <c r="U38" t="s">
        <v>458</v>
      </c>
      <c r="V38" t="s">
        <v>458</v>
      </c>
      <c r="W38" t="s">
        <v>458</v>
      </c>
      <c r="X38" t="s">
        <v>458</v>
      </c>
      <c r="Y38" t="s">
        <v>458</v>
      </c>
      <c r="Z38" t="s">
        <v>458</v>
      </c>
      <c r="AA38" t="s">
        <v>458</v>
      </c>
      <c r="AB38" t="s">
        <v>458</v>
      </c>
      <c r="AC38" t="s">
        <v>458</v>
      </c>
      <c r="AD38" t="s">
        <v>458</v>
      </c>
      <c r="AE38" t="s">
        <v>458</v>
      </c>
      <c r="AF38" t="s">
        <v>458</v>
      </c>
      <c r="AG38" t="s">
        <v>458</v>
      </c>
      <c r="AH38" t="s">
        <v>458</v>
      </c>
      <c r="AI38" t="s">
        <v>458</v>
      </c>
      <c r="AJ38" t="s">
        <v>458</v>
      </c>
      <c r="AK38" t="s">
        <v>458</v>
      </c>
      <c r="AL38" t="s">
        <v>458</v>
      </c>
      <c r="AM38" t="s">
        <v>458</v>
      </c>
      <c r="AN38" t="s">
        <v>458</v>
      </c>
      <c r="AO38" t="s">
        <v>458</v>
      </c>
      <c r="AP38" t="s">
        <v>458</v>
      </c>
      <c r="AQ38" t="s">
        <v>458</v>
      </c>
      <c r="AR38" t="s">
        <v>458</v>
      </c>
      <c r="AS38" t="s">
        <v>458</v>
      </c>
      <c r="AT38" t="s">
        <v>458</v>
      </c>
      <c r="AU38" t="s">
        <v>458</v>
      </c>
      <c r="AV38" t="s">
        <v>458</v>
      </c>
      <c r="AW38" t="s">
        <v>458</v>
      </c>
      <c r="AX38" t="s">
        <v>458</v>
      </c>
      <c r="AY38" t="s">
        <v>458</v>
      </c>
      <c r="AZ38" t="s">
        <v>458</v>
      </c>
      <c r="BA38" t="s">
        <v>458</v>
      </c>
      <c r="BB38" t="s">
        <v>458</v>
      </c>
      <c r="BC38" t="s">
        <v>458</v>
      </c>
      <c r="BD38" t="s">
        <v>458</v>
      </c>
      <c r="BG38" s="3"/>
      <c r="BH38" s="3"/>
    </row>
    <row r="39" spans="1:60" x14ac:dyDescent="0.2">
      <c r="A39" s="21">
        <v>5</v>
      </c>
      <c r="B39" s="29">
        <v>36</v>
      </c>
      <c r="C39" s="29" t="s">
        <v>45</v>
      </c>
      <c r="D39">
        <v>3.5175900000000002</v>
      </c>
      <c r="E39">
        <v>7.0351800000000004</v>
      </c>
      <c r="F39">
        <v>15.82915</v>
      </c>
      <c r="G39">
        <v>21.859300000000001</v>
      </c>
      <c r="H39" s="314" t="s">
        <v>458</v>
      </c>
      <c r="I39" s="314" t="s">
        <v>458</v>
      </c>
      <c r="J39" s="314" t="s">
        <v>458</v>
      </c>
      <c r="K39" s="314" t="s">
        <v>458</v>
      </c>
      <c r="L39" s="314" t="s">
        <v>458</v>
      </c>
      <c r="M39" s="314" t="s">
        <v>458</v>
      </c>
      <c r="N39" s="314" t="s">
        <v>458</v>
      </c>
      <c r="O39" s="314" t="s">
        <v>458</v>
      </c>
      <c r="P39" s="5" t="s">
        <v>458</v>
      </c>
      <c r="Q39" s="5" t="s">
        <v>458</v>
      </c>
      <c r="R39" s="5" t="s">
        <v>458</v>
      </c>
      <c r="S39" s="5" t="s">
        <v>458</v>
      </c>
      <c r="T39" s="5" t="s">
        <v>458</v>
      </c>
      <c r="U39" s="5" t="s">
        <v>458</v>
      </c>
      <c r="V39" s="5" t="s">
        <v>458</v>
      </c>
      <c r="W39" s="5" t="s">
        <v>458</v>
      </c>
      <c r="X39" s="5" t="s">
        <v>458</v>
      </c>
      <c r="Y39" s="5" t="s">
        <v>458</v>
      </c>
      <c r="Z39" s="5" t="s">
        <v>458</v>
      </c>
      <c r="AA39" s="5" t="s">
        <v>458</v>
      </c>
      <c r="AB39" s="5" t="s">
        <v>458</v>
      </c>
      <c r="AC39" s="5" t="s">
        <v>458</v>
      </c>
      <c r="AD39" s="5" t="s">
        <v>458</v>
      </c>
      <c r="AE39" s="5" t="s">
        <v>458</v>
      </c>
      <c r="AF39" s="5" t="s">
        <v>458</v>
      </c>
      <c r="AG39" s="5" t="s">
        <v>458</v>
      </c>
      <c r="AH39" s="5" t="s">
        <v>458</v>
      </c>
      <c r="AI39" s="5" t="s">
        <v>458</v>
      </c>
      <c r="AJ39" s="5" t="s">
        <v>458</v>
      </c>
      <c r="AK39" s="5" t="s">
        <v>458</v>
      </c>
      <c r="AL39" s="5" t="s">
        <v>458</v>
      </c>
      <c r="AM39" s="5" t="s">
        <v>458</v>
      </c>
      <c r="AN39" s="5" t="s">
        <v>458</v>
      </c>
      <c r="AO39" s="5" t="s">
        <v>458</v>
      </c>
      <c r="AP39" s="5" t="s">
        <v>458</v>
      </c>
      <c r="AQ39" s="5" t="s">
        <v>458</v>
      </c>
      <c r="AR39" s="5" t="s">
        <v>458</v>
      </c>
      <c r="AS39" s="5" t="s">
        <v>458</v>
      </c>
      <c r="AT39" s="5" t="s">
        <v>458</v>
      </c>
      <c r="AU39" s="5" t="s">
        <v>458</v>
      </c>
      <c r="AV39" s="5" t="s">
        <v>458</v>
      </c>
      <c r="AW39" s="5" t="s">
        <v>458</v>
      </c>
      <c r="AX39" s="5" t="s">
        <v>458</v>
      </c>
      <c r="AY39" s="5" t="s">
        <v>458</v>
      </c>
      <c r="AZ39" s="5" t="s">
        <v>458</v>
      </c>
      <c r="BA39" s="5" t="s">
        <v>458</v>
      </c>
      <c r="BB39" s="5" t="s">
        <v>458</v>
      </c>
      <c r="BC39" s="5" t="s">
        <v>458</v>
      </c>
      <c r="BD39" s="5" t="s">
        <v>458</v>
      </c>
      <c r="BG39" s="3"/>
      <c r="BH39" s="3"/>
    </row>
    <row r="40" spans="1:60" x14ac:dyDescent="0.2">
      <c r="A40" s="21">
        <v>5</v>
      </c>
      <c r="B40" s="29">
        <v>37</v>
      </c>
      <c r="C40" s="29" t="s">
        <v>45</v>
      </c>
      <c r="D40">
        <v>3.26633</v>
      </c>
      <c r="E40">
        <v>7.7889400000000002</v>
      </c>
      <c r="F40">
        <v>25.37688</v>
      </c>
      <c r="G40">
        <v>39.195979999999999</v>
      </c>
      <c r="H40" s="314" t="s">
        <v>458</v>
      </c>
      <c r="I40" s="314" t="s">
        <v>458</v>
      </c>
      <c r="J40" s="314" t="s">
        <v>458</v>
      </c>
      <c r="K40" s="314" t="s">
        <v>458</v>
      </c>
      <c r="L40" s="314" t="s">
        <v>458</v>
      </c>
      <c r="M40" s="314" t="s">
        <v>458</v>
      </c>
      <c r="N40" s="314" t="s">
        <v>458</v>
      </c>
      <c r="O40" s="314" t="s">
        <v>458</v>
      </c>
      <c r="P40" s="5" t="s">
        <v>458</v>
      </c>
      <c r="Q40" s="5" t="s">
        <v>458</v>
      </c>
      <c r="R40" s="5" t="s">
        <v>458</v>
      </c>
      <c r="S40" s="5" t="s">
        <v>458</v>
      </c>
      <c r="T40" s="5" t="s">
        <v>458</v>
      </c>
      <c r="U40" s="5" t="s">
        <v>458</v>
      </c>
      <c r="V40" s="5" t="s">
        <v>458</v>
      </c>
      <c r="W40" s="5" t="s">
        <v>458</v>
      </c>
      <c r="X40" s="5" t="s">
        <v>458</v>
      </c>
      <c r="Y40" s="5" t="s">
        <v>458</v>
      </c>
      <c r="Z40" s="5" t="s">
        <v>458</v>
      </c>
      <c r="AA40" s="5" t="s">
        <v>458</v>
      </c>
      <c r="AB40" s="5" t="s">
        <v>458</v>
      </c>
      <c r="AC40" s="5" t="s">
        <v>458</v>
      </c>
      <c r="AD40" s="5" t="s">
        <v>458</v>
      </c>
      <c r="AE40" s="5" t="s">
        <v>458</v>
      </c>
      <c r="AF40" s="5" t="s">
        <v>458</v>
      </c>
      <c r="AG40" s="5" t="s">
        <v>458</v>
      </c>
      <c r="AH40" s="5" t="s">
        <v>458</v>
      </c>
      <c r="AI40" s="5" t="s">
        <v>458</v>
      </c>
      <c r="AJ40" s="5" t="s">
        <v>458</v>
      </c>
      <c r="AK40" s="5" t="s">
        <v>458</v>
      </c>
      <c r="AL40" s="5" t="s">
        <v>458</v>
      </c>
      <c r="AM40" s="5" t="s">
        <v>458</v>
      </c>
      <c r="AN40" s="5" t="s">
        <v>458</v>
      </c>
      <c r="AO40" s="5" t="s">
        <v>458</v>
      </c>
      <c r="AP40" s="5" t="s">
        <v>458</v>
      </c>
      <c r="AQ40" s="5" t="s">
        <v>458</v>
      </c>
      <c r="AR40" s="5" t="s">
        <v>458</v>
      </c>
      <c r="AS40" s="5" t="s">
        <v>458</v>
      </c>
      <c r="AT40" s="5" t="s">
        <v>458</v>
      </c>
      <c r="AU40" s="5" t="s">
        <v>458</v>
      </c>
      <c r="AV40" s="5" t="s">
        <v>458</v>
      </c>
      <c r="AW40" s="5" t="s">
        <v>458</v>
      </c>
      <c r="AX40" s="5" t="s">
        <v>458</v>
      </c>
      <c r="AY40" s="5" t="s">
        <v>458</v>
      </c>
      <c r="AZ40" s="5" t="s">
        <v>458</v>
      </c>
      <c r="BA40" s="5" t="s">
        <v>458</v>
      </c>
      <c r="BB40" s="5" t="s">
        <v>458</v>
      </c>
      <c r="BC40" s="5" t="s">
        <v>458</v>
      </c>
      <c r="BD40" s="5" t="s">
        <v>458</v>
      </c>
      <c r="BG40" s="3"/>
      <c r="BH40" s="3"/>
    </row>
    <row r="41" spans="1:60" x14ac:dyDescent="0.2">
      <c r="A41" s="21">
        <v>5</v>
      </c>
      <c r="B41" s="29">
        <v>38</v>
      </c>
      <c r="C41" s="29" t="s">
        <v>45</v>
      </c>
      <c r="D41">
        <v>3.0150800000000002</v>
      </c>
      <c r="E41">
        <v>8.7939699999999998</v>
      </c>
      <c r="F41">
        <v>39.447240000000001</v>
      </c>
      <c r="G41">
        <v>59.045229999999997</v>
      </c>
      <c r="H41" s="314" t="s">
        <v>458</v>
      </c>
      <c r="I41" s="314" t="s">
        <v>458</v>
      </c>
      <c r="J41" s="314" t="s">
        <v>458</v>
      </c>
      <c r="K41" s="314" t="s">
        <v>458</v>
      </c>
      <c r="L41" s="314" t="s">
        <v>458</v>
      </c>
      <c r="M41" s="314" t="s">
        <v>458</v>
      </c>
      <c r="N41" s="314" t="s">
        <v>458</v>
      </c>
      <c r="O41" s="314" t="s">
        <v>458</v>
      </c>
      <c r="P41" s="5" t="s">
        <v>458</v>
      </c>
      <c r="Q41" s="5" t="s">
        <v>458</v>
      </c>
      <c r="R41" s="5" t="s">
        <v>458</v>
      </c>
      <c r="S41" s="5" t="s">
        <v>458</v>
      </c>
      <c r="T41" s="5" t="s">
        <v>458</v>
      </c>
      <c r="U41" s="5" t="s">
        <v>458</v>
      </c>
      <c r="V41" s="5" t="s">
        <v>458</v>
      </c>
      <c r="W41" s="5" t="s">
        <v>458</v>
      </c>
      <c r="X41" s="5" t="s">
        <v>458</v>
      </c>
      <c r="Y41" s="5" t="s">
        <v>458</v>
      </c>
      <c r="Z41" s="5" t="s">
        <v>458</v>
      </c>
      <c r="AA41" s="5" t="s">
        <v>458</v>
      </c>
      <c r="AB41" s="5" t="s">
        <v>458</v>
      </c>
      <c r="AC41" s="5" t="s">
        <v>458</v>
      </c>
      <c r="AD41" s="5" t="s">
        <v>458</v>
      </c>
      <c r="AE41" s="5" t="s">
        <v>458</v>
      </c>
      <c r="AF41" s="5" t="s">
        <v>458</v>
      </c>
      <c r="AG41" s="5" t="s">
        <v>458</v>
      </c>
      <c r="AH41" s="5" t="s">
        <v>458</v>
      </c>
      <c r="AI41" s="5" t="s">
        <v>458</v>
      </c>
      <c r="AJ41" s="5" t="s">
        <v>458</v>
      </c>
      <c r="AK41" s="5" t="s">
        <v>458</v>
      </c>
      <c r="AL41" s="5" t="s">
        <v>458</v>
      </c>
      <c r="AM41" s="5" t="s">
        <v>458</v>
      </c>
      <c r="AN41" s="5" t="s">
        <v>458</v>
      </c>
      <c r="AO41" s="5" t="s">
        <v>458</v>
      </c>
      <c r="AP41" s="5" t="s">
        <v>458</v>
      </c>
      <c r="AQ41" s="5" t="s">
        <v>458</v>
      </c>
      <c r="AR41" s="5" t="s">
        <v>458</v>
      </c>
      <c r="AS41" s="5" t="s">
        <v>458</v>
      </c>
      <c r="AT41" s="5" t="s">
        <v>458</v>
      </c>
      <c r="AU41" s="5" t="s">
        <v>458</v>
      </c>
      <c r="AV41" s="5" t="s">
        <v>458</v>
      </c>
      <c r="AW41" s="5" t="s">
        <v>458</v>
      </c>
      <c r="AX41" s="5" t="s">
        <v>458</v>
      </c>
      <c r="AY41" s="5" t="s">
        <v>458</v>
      </c>
      <c r="AZ41" s="5" t="s">
        <v>458</v>
      </c>
      <c r="BA41" s="5" t="s">
        <v>458</v>
      </c>
      <c r="BB41" s="5" t="s">
        <v>458</v>
      </c>
      <c r="BC41" s="5" t="s">
        <v>458</v>
      </c>
      <c r="BD41" s="5" t="s">
        <v>458</v>
      </c>
      <c r="BG41" s="3"/>
      <c r="BH41" s="3"/>
    </row>
    <row r="42" spans="1:60" x14ac:dyDescent="0.2">
      <c r="A42" s="21">
        <v>5</v>
      </c>
      <c r="B42" s="29">
        <v>39</v>
      </c>
      <c r="C42" s="29" t="s">
        <v>45</v>
      </c>
      <c r="D42">
        <v>2.7638199999999999</v>
      </c>
      <c r="E42">
        <v>13.31658</v>
      </c>
      <c r="F42">
        <v>68.341710000000006</v>
      </c>
      <c r="G42">
        <v>99.497489999999999</v>
      </c>
      <c r="H42" s="314" t="s">
        <v>458</v>
      </c>
      <c r="I42" s="314" t="s">
        <v>458</v>
      </c>
      <c r="J42" s="314" t="s">
        <v>458</v>
      </c>
      <c r="K42" s="314" t="s">
        <v>458</v>
      </c>
      <c r="L42" s="314" t="s">
        <v>458</v>
      </c>
      <c r="M42" s="314" t="s">
        <v>458</v>
      </c>
      <c r="N42" s="314" t="s">
        <v>458</v>
      </c>
      <c r="O42" s="314" t="s">
        <v>458</v>
      </c>
      <c r="P42" s="5" t="s">
        <v>458</v>
      </c>
      <c r="Q42" s="5" t="s">
        <v>458</v>
      </c>
      <c r="R42" s="5" t="s">
        <v>458</v>
      </c>
      <c r="S42" s="5" t="s">
        <v>458</v>
      </c>
      <c r="T42" s="5" t="s">
        <v>458</v>
      </c>
      <c r="U42" s="5" t="s">
        <v>458</v>
      </c>
      <c r="V42" s="5" t="s">
        <v>458</v>
      </c>
      <c r="W42" s="5" t="s">
        <v>458</v>
      </c>
      <c r="X42" s="5" t="s">
        <v>458</v>
      </c>
      <c r="Y42" s="5" t="s">
        <v>458</v>
      </c>
      <c r="Z42" s="5" t="s">
        <v>458</v>
      </c>
      <c r="AA42" s="5" t="s">
        <v>458</v>
      </c>
      <c r="AB42" s="5" t="s">
        <v>458</v>
      </c>
      <c r="AC42" s="5" t="s">
        <v>458</v>
      </c>
      <c r="AD42" s="5" t="s">
        <v>458</v>
      </c>
      <c r="AE42" s="5" t="s">
        <v>458</v>
      </c>
      <c r="AF42" s="5" t="s">
        <v>458</v>
      </c>
      <c r="AG42" s="5" t="s">
        <v>458</v>
      </c>
      <c r="AH42" s="5" t="s">
        <v>458</v>
      </c>
      <c r="AI42" s="5" t="s">
        <v>458</v>
      </c>
      <c r="AJ42" s="5" t="s">
        <v>458</v>
      </c>
      <c r="AK42" s="5" t="s">
        <v>458</v>
      </c>
      <c r="AL42" s="5" t="s">
        <v>458</v>
      </c>
      <c r="AM42" s="5" t="s">
        <v>458</v>
      </c>
      <c r="AN42" s="5" t="s">
        <v>458</v>
      </c>
      <c r="AO42" s="5" t="s">
        <v>458</v>
      </c>
      <c r="AP42" s="5" t="s">
        <v>458</v>
      </c>
      <c r="AQ42" s="5" t="s">
        <v>458</v>
      </c>
      <c r="AR42" s="5" t="s">
        <v>458</v>
      </c>
      <c r="AS42" s="5" t="s">
        <v>458</v>
      </c>
      <c r="AT42" s="5" t="s">
        <v>458</v>
      </c>
      <c r="AU42" s="5" t="s">
        <v>458</v>
      </c>
      <c r="AV42" s="5" t="s">
        <v>458</v>
      </c>
      <c r="AW42" s="5" t="s">
        <v>458</v>
      </c>
      <c r="AX42" s="5" t="s">
        <v>458</v>
      </c>
      <c r="AY42" s="5" t="s">
        <v>458</v>
      </c>
      <c r="AZ42" s="5" t="s">
        <v>458</v>
      </c>
      <c r="BA42" s="5" t="s">
        <v>458</v>
      </c>
      <c r="BB42" s="5" t="s">
        <v>458</v>
      </c>
      <c r="BC42" s="5" t="s">
        <v>458</v>
      </c>
      <c r="BD42" s="5" t="s">
        <v>458</v>
      </c>
      <c r="BG42" s="3"/>
      <c r="BH42" s="3"/>
    </row>
    <row r="43" spans="1:60" x14ac:dyDescent="0.2">
      <c r="A43" s="21">
        <v>5</v>
      </c>
      <c r="B43" s="29">
        <v>40</v>
      </c>
      <c r="C43" s="29" t="s">
        <v>45</v>
      </c>
      <c r="D43">
        <v>4.7738699999999996</v>
      </c>
      <c r="E43">
        <v>23.36683</v>
      </c>
      <c r="F43">
        <v>69.849249999999998</v>
      </c>
      <c r="G43">
        <v>99.748739999999998</v>
      </c>
      <c r="H43" s="314" t="s">
        <v>458</v>
      </c>
      <c r="I43" s="314" t="s">
        <v>458</v>
      </c>
      <c r="J43" s="314" t="s">
        <v>458</v>
      </c>
      <c r="K43" s="314" t="s">
        <v>458</v>
      </c>
      <c r="L43" s="314" t="s">
        <v>458</v>
      </c>
      <c r="M43" s="314" t="s">
        <v>458</v>
      </c>
      <c r="N43" s="314" t="s">
        <v>458</v>
      </c>
      <c r="O43" s="314" t="s">
        <v>458</v>
      </c>
      <c r="P43" s="5" t="s">
        <v>458</v>
      </c>
      <c r="Q43" s="5" t="s">
        <v>458</v>
      </c>
      <c r="R43" s="5" t="s">
        <v>458</v>
      </c>
      <c r="S43" s="5" t="s">
        <v>458</v>
      </c>
      <c r="T43" s="5" t="s">
        <v>458</v>
      </c>
      <c r="U43" s="5" t="s">
        <v>458</v>
      </c>
      <c r="V43" s="5" t="s">
        <v>458</v>
      </c>
      <c r="W43" s="5" t="s">
        <v>458</v>
      </c>
      <c r="X43" s="5" t="s">
        <v>458</v>
      </c>
      <c r="Y43" s="5" t="s">
        <v>458</v>
      </c>
      <c r="Z43" s="5" t="s">
        <v>458</v>
      </c>
      <c r="AA43" s="5" t="s">
        <v>458</v>
      </c>
      <c r="AB43" s="5" t="s">
        <v>458</v>
      </c>
      <c r="AC43" s="5" t="s">
        <v>458</v>
      </c>
      <c r="AD43" s="5" t="s">
        <v>458</v>
      </c>
      <c r="AE43" s="5" t="s">
        <v>458</v>
      </c>
      <c r="AF43" s="5" t="s">
        <v>458</v>
      </c>
      <c r="AG43" s="5" t="s">
        <v>458</v>
      </c>
      <c r="AH43" s="5" t="s">
        <v>458</v>
      </c>
      <c r="AI43" s="5" t="s">
        <v>458</v>
      </c>
      <c r="AJ43" s="5" t="s">
        <v>458</v>
      </c>
      <c r="AK43" s="5" t="s">
        <v>458</v>
      </c>
      <c r="AL43" s="5" t="s">
        <v>458</v>
      </c>
      <c r="AM43" s="5" t="s">
        <v>458</v>
      </c>
      <c r="AN43" s="5" t="s">
        <v>458</v>
      </c>
      <c r="AO43" s="5" t="s">
        <v>458</v>
      </c>
      <c r="AP43" s="5" t="s">
        <v>458</v>
      </c>
      <c r="AQ43" s="5" t="s">
        <v>458</v>
      </c>
      <c r="AR43" s="5" t="s">
        <v>458</v>
      </c>
      <c r="AS43" s="5" t="s">
        <v>458</v>
      </c>
      <c r="AT43" s="5" t="s">
        <v>458</v>
      </c>
      <c r="AU43" s="5" t="s">
        <v>458</v>
      </c>
      <c r="AV43" s="5" t="s">
        <v>458</v>
      </c>
      <c r="AW43" s="5" t="s">
        <v>458</v>
      </c>
      <c r="AX43" s="5" t="s">
        <v>458</v>
      </c>
      <c r="AY43" s="5" t="s">
        <v>458</v>
      </c>
      <c r="AZ43" s="5" t="s">
        <v>458</v>
      </c>
      <c r="BA43" s="5" t="s">
        <v>458</v>
      </c>
      <c r="BB43" s="5" t="s">
        <v>458</v>
      </c>
      <c r="BC43" s="5" t="s">
        <v>458</v>
      </c>
      <c r="BD43" s="5" t="s">
        <v>458</v>
      </c>
      <c r="BG43" s="3"/>
      <c r="BH43" s="3"/>
    </row>
    <row r="44" spans="1:60" x14ac:dyDescent="0.2">
      <c r="A44" s="8">
        <v>5</v>
      </c>
      <c r="B44" s="8">
        <v>41</v>
      </c>
      <c r="C44" s="8" t="s">
        <v>162</v>
      </c>
      <c r="D44">
        <v>1.3953500000000001</v>
      </c>
      <c r="E44">
        <v>9.5348799999999994</v>
      </c>
      <c r="F44">
        <v>14.4186</v>
      </c>
      <c r="G44">
        <v>22.093019999999999</v>
      </c>
      <c r="H44" t="s">
        <v>458</v>
      </c>
      <c r="I44" t="s">
        <v>458</v>
      </c>
      <c r="J44" t="s">
        <v>458</v>
      </c>
      <c r="K44" t="s">
        <v>458</v>
      </c>
      <c r="L44" t="s">
        <v>458</v>
      </c>
      <c r="M44" t="s">
        <v>458</v>
      </c>
      <c r="N44" t="s">
        <v>458</v>
      </c>
      <c r="O44" t="s">
        <v>458</v>
      </c>
      <c r="P44" s="5" t="s">
        <v>458</v>
      </c>
      <c r="Q44" s="5" t="s">
        <v>458</v>
      </c>
      <c r="R44" s="5" t="s">
        <v>458</v>
      </c>
      <c r="S44" s="5" t="s">
        <v>458</v>
      </c>
      <c r="T44" s="5" t="s">
        <v>458</v>
      </c>
      <c r="U44" t="s">
        <v>458</v>
      </c>
      <c r="V44" t="s">
        <v>458</v>
      </c>
      <c r="W44" t="s">
        <v>458</v>
      </c>
      <c r="X44" t="s">
        <v>458</v>
      </c>
      <c r="Y44" t="s">
        <v>458</v>
      </c>
      <c r="Z44" t="s">
        <v>458</v>
      </c>
      <c r="AA44" t="s">
        <v>458</v>
      </c>
      <c r="AB44" t="s">
        <v>458</v>
      </c>
      <c r="AC44" t="s">
        <v>458</v>
      </c>
      <c r="AD44" t="s">
        <v>458</v>
      </c>
      <c r="AE44" t="s">
        <v>458</v>
      </c>
      <c r="AF44" t="s">
        <v>458</v>
      </c>
      <c r="AG44" t="s">
        <v>458</v>
      </c>
      <c r="AH44" t="s">
        <v>458</v>
      </c>
      <c r="AI44" t="s">
        <v>458</v>
      </c>
      <c r="AJ44" t="s">
        <v>458</v>
      </c>
      <c r="AK44" t="s">
        <v>458</v>
      </c>
      <c r="AL44" t="s">
        <v>458</v>
      </c>
      <c r="AM44" t="s">
        <v>458</v>
      </c>
      <c r="AN44" t="s">
        <v>458</v>
      </c>
      <c r="AO44" t="s">
        <v>458</v>
      </c>
      <c r="AP44" t="s">
        <v>458</v>
      </c>
      <c r="AQ44" t="s">
        <v>458</v>
      </c>
      <c r="AR44" t="s">
        <v>458</v>
      </c>
      <c r="AS44" t="s">
        <v>458</v>
      </c>
      <c r="AT44" t="s">
        <v>458</v>
      </c>
      <c r="AU44" t="s">
        <v>458</v>
      </c>
      <c r="AV44" t="s">
        <v>458</v>
      </c>
      <c r="AW44" t="s">
        <v>458</v>
      </c>
      <c r="AX44" t="s">
        <v>458</v>
      </c>
      <c r="AY44" t="s">
        <v>458</v>
      </c>
      <c r="AZ44" t="s">
        <v>458</v>
      </c>
      <c r="BA44" t="s">
        <v>458</v>
      </c>
      <c r="BB44" t="s">
        <v>458</v>
      </c>
      <c r="BC44" t="s">
        <v>458</v>
      </c>
      <c r="BD44" t="s">
        <v>458</v>
      </c>
      <c r="BG44" s="3"/>
      <c r="BH44" s="3"/>
    </row>
    <row r="45" spans="1:60" x14ac:dyDescent="0.2">
      <c r="A45" s="21">
        <v>5</v>
      </c>
      <c r="B45" s="29">
        <v>42</v>
      </c>
      <c r="C45" s="29" t="s">
        <v>46</v>
      </c>
      <c r="D45">
        <v>6.0465099999999996</v>
      </c>
      <c r="E45">
        <v>18.604649999999999</v>
      </c>
      <c r="F45">
        <v>37.441859999999998</v>
      </c>
      <c r="G45">
        <v>39.534880000000001</v>
      </c>
      <c r="H45" s="314" t="s">
        <v>458</v>
      </c>
      <c r="I45" s="314" t="s">
        <v>458</v>
      </c>
      <c r="J45" s="314" t="s">
        <v>458</v>
      </c>
      <c r="K45" s="314" t="s">
        <v>458</v>
      </c>
      <c r="L45" s="314" t="s">
        <v>458</v>
      </c>
      <c r="M45" s="314" t="s">
        <v>458</v>
      </c>
      <c r="N45" s="314" t="s">
        <v>458</v>
      </c>
      <c r="O45" s="314" t="s">
        <v>458</v>
      </c>
      <c r="P45" s="5" t="s">
        <v>458</v>
      </c>
      <c r="Q45" s="5" t="s">
        <v>458</v>
      </c>
      <c r="R45" s="5" t="s">
        <v>458</v>
      </c>
      <c r="S45" s="5" t="s">
        <v>458</v>
      </c>
      <c r="T45" s="5" t="s">
        <v>458</v>
      </c>
      <c r="U45" s="5" t="s">
        <v>458</v>
      </c>
      <c r="V45" s="5" t="s">
        <v>458</v>
      </c>
      <c r="W45" s="5" t="s">
        <v>458</v>
      </c>
      <c r="X45" s="5" t="s">
        <v>458</v>
      </c>
      <c r="Y45" s="5" t="s">
        <v>458</v>
      </c>
      <c r="Z45" s="5" t="s">
        <v>458</v>
      </c>
      <c r="AA45" s="5" t="s">
        <v>458</v>
      </c>
      <c r="AB45" s="5" t="s">
        <v>458</v>
      </c>
      <c r="AC45" s="5" t="s">
        <v>458</v>
      </c>
      <c r="AD45" s="5" t="s">
        <v>458</v>
      </c>
      <c r="AE45" s="5" t="s">
        <v>458</v>
      </c>
      <c r="AF45" s="5" t="s">
        <v>458</v>
      </c>
      <c r="AG45" s="5" t="s">
        <v>458</v>
      </c>
      <c r="AH45" s="5" t="s">
        <v>458</v>
      </c>
      <c r="AI45" s="5" t="s">
        <v>458</v>
      </c>
      <c r="AJ45" s="5" t="s">
        <v>458</v>
      </c>
      <c r="AK45" s="5" t="s">
        <v>458</v>
      </c>
      <c r="AL45" s="5" t="s">
        <v>458</v>
      </c>
      <c r="AM45" s="5" t="s">
        <v>458</v>
      </c>
      <c r="AN45" s="5" t="s">
        <v>458</v>
      </c>
      <c r="AO45" s="5" t="s">
        <v>458</v>
      </c>
      <c r="AP45" s="5" t="s">
        <v>458</v>
      </c>
      <c r="AQ45" s="5" t="s">
        <v>458</v>
      </c>
      <c r="AR45" s="5" t="s">
        <v>458</v>
      </c>
      <c r="AS45" s="5" t="s">
        <v>458</v>
      </c>
      <c r="AT45" s="5" t="s">
        <v>458</v>
      </c>
      <c r="AU45" s="5" t="s">
        <v>458</v>
      </c>
      <c r="AV45" s="5" t="s">
        <v>458</v>
      </c>
      <c r="AW45" s="5" t="s">
        <v>458</v>
      </c>
      <c r="AX45" s="5" t="s">
        <v>458</v>
      </c>
      <c r="AY45" s="5" t="s">
        <v>458</v>
      </c>
      <c r="AZ45" s="5" t="s">
        <v>458</v>
      </c>
      <c r="BA45" s="5" t="s">
        <v>458</v>
      </c>
      <c r="BB45" s="5" t="s">
        <v>458</v>
      </c>
      <c r="BC45" s="5" t="s">
        <v>458</v>
      </c>
      <c r="BD45" s="5" t="s">
        <v>458</v>
      </c>
      <c r="BG45" s="3"/>
      <c r="BH45" s="3"/>
    </row>
    <row r="46" spans="1:60" x14ac:dyDescent="0.2">
      <c r="A46" s="21">
        <v>5</v>
      </c>
      <c r="B46" s="29">
        <v>43</v>
      </c>
      <c r="C46" s="29" t="s">
        <v>46</v>
      </c>
      <c r="D46">
        <v>6.9767400000000004</v>
      </c>
      <c r="E46">
        <v>30.138809999999999</v>
      </c>
      <c r="F46">
        <v>47.906979999999997</v>
      </c>
      <c r="G46">
        <v>52.558140000000002</v>
      </c>
      <c r="H46" s="314" t="s">
        <v>458</v>
      </c>
      <c r="I46" s="314" t="s">
        <v>458</v>
      </c>
      <c r="J46" s="314" t="s">
        <v>458</v>
      </c>
      <c r="K46" s="314" t="s">
        <v>458</v>
      </c>
      <c r="L46" s="314" t="s">
        <v>458</v>
      </c>
      <c r="M46" s="314" t="s">
        <v>458</v>
      </c>
      <c r="N46" s="314" t="s">
        <v>458</v>
      </c>
      <c r="O46" s="314" t="s">
        <v>458</v>
      </c>
      <c r="P46" s="5" t="s">
        <v>458</v>
      </c>
      <c r="Q46" s="5" t="s">
        <v>458</v>
      </c>
      <c r="R46" s="5" t="s">
        <v>458</v>
      </c>
      <c r="S46" s="5" t="s">
        <v>458</v>
      </c>
      <c r="T46" s="5" t="s">
        <v>458</v>
      </c>
      <c r="U46" s="5" t="s">
        <v>458</v>
      </c>
      <c r="V46" s="5" t="s">
        <v>458</v>
      </c>
      <c r="W46" s="5" t="s">
        <v>458</v>
      </c>
      <c r="X46" s="5" t="s">
        <v>458</v>
      </c>
      <c r="Y46" s="5" t="s">
        <v>458</v>
      </c>
      <c r="Z46" s="5" t="s">
        <v>458</v>
      </c>
      <c r="AA46" s="5" t="s">
        <v>458</v>
      </c>
      <c r="AB46" s="5" t="s">
        <v>458</v>
      </c>
      <c r="AC46" s="5" t="s">
        <v>458</v>
      </c>
      <c r="AD46" s="5" t="s">
        <v>458</v>
      </c>
      <c r="AE46" s="5" t="s">
        <v>458</v>
      </c>
      <c r="AF46" s="5" t="s">
        <v>458</v>
      </c>
      <c r="AG46" s="5" t="s">
        <v>458</v>
      </c>
      <c r="AH46" s="5" t="s">
        <v>458</v>
      </c>
      <c r="AI46" s="5" t="s">
        <v>458</v>
      </c>
      <c r="AJ46" s="5" t="s">
        <v>458</v>
      </c>
      <c r="AK46" s="5" t="s">
        <v>458</v>
      </c>
      <c r="AL46" s="5" t="s">
        <v>458</v>
      </c>
      <c r="AM46" s="5" t="s">
        <v>458</v>
      </c>
      <c r="AN46" s="5" t="s">
        <v>458</v>
      </c>
      <c r="AO46" s="5" t="s">
        <v>458</v>
      </c>
      <c r="AP46" s="5" t="s">
        <v>458</v>
      </c>
      <c r="AQ46" s="5" t="s">
        <v>458</v>
      </c>
      <c r="AR46" s="5" t="s">
        <v>458</v>
      </c>
      <c r="AS46" s="5" t="s">
        <v>458</v>
      </c>
      <c r="AT46" s="5" t="s">
        <v>458</v>
      </c>
      <c r="AU46" s="5" t="s">
        <v>458</v>
      </c>
      <c r="AV46" s="5" t="s">
        <v>458</v>
      </c>
      <c r="AW46" s="5" t="s">
        <v>458</v>
      </c>
      <c r="AX46" s="5" t="s">
        <v>458</v>
      </c>
      <c r="AY46" s="5" t="s">
        <v>458</v>
      </c>
      <c r="AZ46" s="5" t="s">
        <v>458</v>
      </c>
      <c r="BA46" s="5" t="s">
        <v>458</v>
      </c>
      <c r="BB46" s="5" t="s">
        <v>458</v>
      </c>
      <c r="BC46" s="5" t="s">
        <v>458</v>
      </c>
      <c r="BD46" s="5" t="s">
        <v>458</v>
      </c>
      <c r="BG46" s="3"/>
      <c r="BH46" s="3"/>
    </row>
    <row r="47" spans="1:60" x14ac:dyDescent="0.2">
      <c r="A47" s="21">
        <v>5</v>
      </c>
      <c r="B47" s="29">
        <v>44</v>
      </c>
      <c r="C47" s="29" t="s">
        <v>46</v>
      </c>
      <c r="D47">
        <v>7.6744199999999996</v>
      </c>
      <c r="E47">
        <v>30.232559999999999</v>
      </c>
      <c r="F47">
        <v>53.023260000000001</v>
      </c>
      <c r="G47">
        <v>69.302329999999998</v>
      </c>
      <c r="H47" s="314" t="s">
        <v>458</v>
      </c>
      <c r="I47" s="314" t="s">
        <v>458</v>
      </c>
      <c r="J47" s="314" t="s">
        <v>458</v>
      </c>
      <c r="K47" s="314" t="s">
        <v>458</v>
      </c>
      <c r="L47" s="314" t="s">
        <v>458</v>
      </c>
      <c r="M47" s="314" t="s">
        <v>458</v>
      </c>
      <c r="N47" s="314" t="s">
        <v>458</v>
      </c>
      <c r="O47" s="314" t="s">
        <v>458</v>
      </c>
      <c r="P47" s="5" t="s">
        <v>458</v>
      </c>
      <c r="Q47" s="5" t="s">
        <v>458</v>
      </c>
      <c r="R47" s="5" t="s">
        <v>458</v>
      </c>
      <c r="S47" s="5" t="s">
        <v>458</v>
      </c>
      <c r="T47" s="5" t="s">
        <v>458</v>
      </c>
      <c r="U47" s="5" t="s">
        <v>458</v>
      </c>
      <c r="V47" s="5" t="s">
        <v>458</v>
      </c>
      <c r="W47" s="5" t="s">
        <v>458</v>
      </c>
      <c r="X47" s="5" t="s">
        <v>458</v>
      </c>
      <c r="Y47" s="5" t="s">
        <v>458</v>
      </c>
      <c r="Z47" s="5" t="s">
        <v>458</v>
      </c>
      <c r="AA47" s="5" t="s">
        <v>458</v>
      </c>
      <c r="AB47" s="5" t="s">
        <v>458</v>
      </c>
      <c r="AC47" s="5" t="s">
        <v>458</v>
      </c>
      <c r="AD47" s="5" t="s">
        <v>458</v>
      </c>
      <c r="AE47" s="5" t="s">
        <v>458</v>
      </c>
      <c r="AF47" s="5" t="s">
        <v>458</v>
      </c>
      <c r="AG47" s="5" t="s">
        <v>458</v>
      </c>
      <c r="AH47" s="5" t="s">
        <v>458</v>
      </c>
      <c r="AI47" s="5" t="s">
        <v>458</v>
      </c>
      <c r="AJ47" s="5" t="s">
        <v>458</v>
      </c>
      <c r="AK47" s="5" t="s">
        <v>458</v>
      </c>
      <c r="AL47" s="5" t="s">
        <v>458</v>
      </c>
      <c r="AM47" s="5" t="s">
        <v>458</v>
      </c>
      <c r="AN47" s="5" t="s">
        <v>458</v>
      </c>
      <c r="AO47" s="5" t="s">
        <v>458</v>
      </c>
      <c r="AP47" s="5" t="s">
        <v>458</v>
      </c>
      <c r="AQ47" s="5" t="s">
        <v>458</v>
      </c>
      <c r="AR47" s="5" t="s">
        <v>458</v>
      </c>
      <c r="AS47" s="5" t="s">
        <v>458</v>
      </c>
      <c r="AT47" s="5" t="s">
        <v>458</v>
      </c>
      <c r="AU47" s="5" t="s">
        <v>458</v>
      </c>
      <c r="AV47" s="5" t="s">
        <v>458</v>
      </c>
      <c r="AW47" s="5" t="s">
        <v>458</v>
      </c>
      <c r="AX47" s="5" t="s">
        <v>458</v>
      </c>
      <c r="AY47" s="5" t="s">
        <v>458</v>
      </c>
      <c r="AZ47" s="5" t="s">
        <v>458</v>
      </c>
      <c r="BA47" s="5" t="s">
        <v>458</v>
      </c>
      <c r="BB47" s="5" t="s">
        <v>458</v>
      </c>
      <c r="BC47" s="5" t="s">
        <v>458</v>
      </c>
      <c r="BD47" s="5" t="s">
        <v>458</v>
      </c>
      <c r="BG47" s="3"/>
      <c r="BH47" s="3"/>
    </row>
    <row r="48" spans="1:60" x14ac:dyDescent="0.2">
      <c r="A48" s="21">
        <v>5</v>
      </c>
      <c r="B48" s="29">
        <v>45</v>
      </c>
      <c r="C48" s="29" t="s">
        <v>46</v>
      </c>
      <c r="D48">
        <v>20.126809999999999</v>
      </c>
      <c r="E48">
        <v>41.62791</v>
      </c>
      <c r="F48">
        <v>54.186050000000002</v>
      </c>
      <c r="G48">
        <v>75.813950000000006</v>
      </c>
      <c r="H48" s="314" t="s">
        <v>458</v>
      </c>
      <c r="I48" s="314" t="s">
        <v>458</v>
      </c>
      <c r="J48" s="314" t="s">
        <v>458</v>
      </c>
      <c r="K48" s="314" t="s">
        <v>458</v>
      </c>
      <c r="L48" s="314" t="s">
        <v>458</v>
      </c>
      <c r="M48" s="314" t="s">
        <v>458</v>
      </c>
      <c r="N48" s="314" t="s">
        <v>458</v>
      </c>
      <c r="O48" s="314" t="s">
        <v>458</v>
      </c>
      <c r="P48" s="5" t="s">
        <v>458</v>
      </c>
      <c r="Q48" s="5" t="s">
        <v>458</v>
      </c>
      <c r="R48" s="5" t="s">
        <v>458</v>
      </c>
      <c r="S48" s="5" t="s">
        <v>458</v>
      </c>
      <c r="T48" s="5" t="s">
        <v>458</v>
      </c>
      <c r="U48" s="5" t="s">
        <v>458</v>
      </c>
      <c r="V48" s="5" t="s">
        <v>458</v>
      </c>
      <c r="W48" s="5" t="s">
        <v>458</v>
      </c>
      <c r="X48" s="5" t="s">
        <v>458</v>
      </c>
      <c r="Y48" s="5" t="s">
        <v>458</v>
      </c>
      <c r="Z48" s="5" t="s">
        <v>458</v>
      </c>
      <c r="AA48" s="5" t="s">
        <v>458</v>
      </c>
      <c r="AB48" s="5" t="s">
        <v>458</v>
      </c>
      <c r="AC48" s="5" t="s">
        <v>458</v>
      </c>
      <c r="AD48" s="5" t="s">
        <v>458</v>
      </c>
      <c r="AE48" s="5" t="s">
        <v>458</v>
      </c>
      <c r="AF48" s="5" t="s">
        <v>458</v>
      </c>
      <c r="AG48" s="5" t="s">
        <v>458</v>
      </c>
      <c r="AH48" s="5" t="s">
        <v>458</v>
      </c>
      <c r="AI48" s="5" t="s">
        <v>458</v>
      </c>
      <c r="AJ48" s="5" t="s">
        <v>458</v>
      </c>
      <c r="AK48" s="5" t="s">
        <v>458</v>
      </c>
      <c r="AL48" s="5" t="s">
        <v>458</v>
      </c>
      <c r="AM48" s="5" t="s">
        <v>458</v>
      </c>
      <c r="AN48" s="5" t="s">
        <v>458</v>
      </c>
      <c r="AO48" s="5" t="s">
        <v>458</v>
      </c>
      <c r="AP48" s="5" t="s">
        <v>458</v>
      </c>
      <c r="AQ48" s="5" t="s">
        <v>458</v>
      </c>
      <c r="AR48" s="5" t="s">
        <v>458</v>
      </c>
      <c r="AS48" s="5" t="s">
        <v>458</v>
      </c>
      <c r="AT48" s="5" t="s">
        <v>458</v>
      </c>
      <c r="AU48" s="5" t="s">
        <v>458</v>
      </c>
      <c r="AV48" s="5" t="s">
        <v>458</v>
      </c>
      <c r="AW48" s="5" t="s">
        <v>458</v>
      </c>
      <c r="AX48" s="5" t="s">
        <v>458</v>
      </c>
      <c r="AY48" s="5" t="s">
        <v>458</v>
      </c>
      <c r="AZ48" s="5" t="s">
        <v>458</v>
      </c>
      <c r="BA48" s="5" t="s">
        <v>458</v>
      </c>
      <c r="BB48" s="5" t="s">
        <v>458</v>
      </c>
      <c r="BC48" s="5" t="s">
        <v>458</v>
      </c>
      <c r="BD48" s="5" t="s">
        <v>458</v>
      </c>
      <c r="BG48" s="3"/>
      <c r="BH48" s="3"/>
    </row>
    <row r="49" spans="1:100" x14ac:dyDescent="0.2">
      <c r="A49" s="8">
        <v>5</v>
      </c>
      <c r="B49" s="8">
        <v>46</v>
      </c>
      <c r="C49" s="8" t="s">
        <v>46</v>
      </c>
      <c r="D49">
        <v>22.558140000000002</v>
      </c>
      <c r="E49">
        <v>61.162790000000001</v>
      </c>
      <c r="F49">
        <v>75.813950000000006</v>
      </c>
      <c r="G49">
        <v>99.767439999999993</v>
      </c>
      <c r="H49" t="s">
        <v>458</v>
      </c>
      <c r="I49" t="s">
        <v>458</v>
      </c>
      <c r="J49" t="s">
        <v>458</v>
      </c>
      <c r="K49" t="s">
        <v>458</v>
      </c>
      <c r="L49" t="s">
        <v>458</v>
      </c>
      <c r="M49" t="s">
        <v>458</v>
      </c>
      <c r="N49" t="s">
        <v>458</v>
      </c>
      <c r="O49" t="s">
        <v>458</v>
      </c>
      <c r="P49" s="5" t="s">
        <v>458</v>
      </c>
      <c r="Q49" s="5" t="s">
        <v>458</v>
      </c>
      <c r="R49" s="5" t="s">
        <v>458</v>
      </c>
      <c r="S49" s="5" t="s">
        <v>458</v>
      </c>
      <c r="T49" s="5" t="s">
        <v>458</v>
      </c>
      <c r="U49" t="s">
        <v>458</v>
      </c>
      <c r="V49" t="s">
        <v>458</v>
      </c>
      <c r="W49" t="s">
        <v>458</v>
      </c>
      <c r="X49" t="s">
        <v>458</v>
      </c>
      <c r="Y49" t="s">
        <v>458</v>
      </c>
      <c r="Z49" t="s">
        <v>458</v>
      </c>
      <c r="AA49" t="s">
        <v>458</v>
      </c>
      <c r="AB49" t="s">
        <v>458</v>
      </c>
      <c r="AC49" t="s">
        <v>458</v>
      </c>
      <c r="AD49" t="s">
        <v>458</v>
      </c>
      <c r="AE49" t="s">
        <v>458</v>
      </c>
      <c r="AF49" t="s">
        <v>458</v>
      </c>
      <c r="AG49" t="s">
        <v>458</v>
      </c>
      <c r="AH49" t="s">
        <v>458</v>
      </c>
      <c r="AI49" t="s">
        <v>458</v>
      </c>
      <c r="AJ49" t="s">
        <v>458</v>
      </c>
      <c r="AK49" t="s">
        <v>458</v>
      </c>
      <c r="AL49" t="s">
        <v>458</v>
      </c>
      <c r="AM49" t="s">
        <v>458</v>
      </c>
      <c r="AN49" t="s">
        <v>458</v>
      </c>
      <c r="AO49" t="s">
        <v>458</v>
      </c>
      <c r="AP49" t="s">
        <v>458</v>
      </c>
      <c r="AQ49" t="s">
        <v>458</v>
      </c>
      <c r="AR49" t="s">
        <v>458</v>
      </c>
      <c r="AS49" t="s">
        <v>458</v>
      </c>
      <c r="AT49" t="s">
        <v>458</v>
      </c>
      <c r="AU49" t="s">
        <v>458</v>
      </c>
      <c r="AV49" t="s">
        <v>458</v>
      </c>
      <c r="AW49" t="s">
        <v>458</v>
      </c>
      <c r="AX49" t="s">
        <v>458</v>
      </c>
      <c r="AY49" t="s">
        <v>458</v>
      </c>
      <c r="AZ49" t="s">
        <v>458</v>
      </c>
      <c r="BA49" t="s">
        <v>458</v>
      </c>
      <c r="BB49" t="s">
        <v>458</v>
      </c>
      <c r="BC49" t="s">
        <v>458</v>
      </c>
      <c r="BD49" t="s">
        <v>458</v>
      </c>
      <c r="BG49" s="3"/>
      <c r="BH49" s="3"/>
    </row>
    <row r="50" spans="1:100" x14ac:dyDescent="0.2">
      <c r="A50" s="21">
        <v>5</v>
      </c>
      <c r="B50" s="29">
        <v>47</v>
      </c>
      <c r="C50" s="29" t="s">
        <v>46</v>
      </c>
      <c r="D50">
        <v>24.418600000000001</v>
      </c>
      <c r="E50">
        <v>89.302329999999998</v>
      </c>
      <c r="F50">
        <v>99.232560000000007</v>
      </c>
      <c r="G50">
        <v>99.532560000000004</v>
      </c>
      <c r="H50" s="314" t="s">
        <v>458</v>
      </c>
      <c r="I50" s="314" t="s">
        <v>458</v>
      </c>
      <c r="J50" s="314" t="s">
        <v>458</v>
      </c>
      <c r="K50" s="314" t="s">
        <v>458</v>
      </c>
      <c r="L50" s="314" t="s">
        <v>458</v>
      </c>
      <c r="M50" s="314" t="s">
        <v>458</v>
      </c>
      <c r="N50" s="314" t="s">
        <v>458</v>
      </c>
      <c r="O50" s="314" t="s">
        <v>458</v>
      </c>
      <c r="P50" s="5" t="s">
        <v>458</v>
      </c>
      <c r="Q50" s="5" t="s">
        <v>458</v>
      </c>
      <c r="R50" s="5" t="s">
        <v>458</v>
      </c>
      <c r="S50" s="5" t="s">
        <v>458</v>
      </c>
      <c r="T50" s="5" t="s">
        <v>458</v>
      </c>
      <c r="U50" s="5" t="s">
        <v>458</v>
      </c>
      <c r="V50" s="5" t="s">
        <v>458</v>
      </c>
      <c r="W50" s="5" t="s">
        <v>458</v>
      </c>
      <c r="X50" s="5" t="s">
        <v>458</v>
      </c>
      <c r="Y50" s="5" t="s">
        <v>458</v>
      </c>
      <c r="Z50" s="5" t="s">
        <v>458</v>
      </c>
      <c r="AA50" s="5" t="s">
        <v>458</v>
      </c>
      <c r="AB50" s="5" t="s">
        <v>458</v>
      </c>
      <c r="AC50" s="5" t="s">
        <v>458</v>
      </c>
      <c r="AD50" s="5" t="s">
        <v>458</v>
      </c>
      <c r="AE50" s="5" t="s">
        <v>458</v>
      </c>
      <c r="AF50" s="5" t="s">
        <v>458</v>
      </c>
      <c r="AG50" s="5" t="s">
        <v>458</v>
      </c>
      <c r="AH50" s="5" t="s">
        <v>458</v>
      </c>
      <c r="AI50" s="5" t="s">
        <v>458</v>
      </c>
      <c r="AJ50" s="5" t="s">
        <v>458</v>
      </c>
      <c r="AK50" s="5" t="s">
        <v>458</v>
      </c>
      <c r="AL50" s="5" t="s">
        <v>458</v>
      </c>
      <c r="AM50" s="5" t="s">
        <v>458</v>
      </c>
      <c r="AN50" s="5" t="s">
        <v>458</v>
      </c>
      <c r="AO50" s="5" t="s">
        <v>458</v>
      </c>
      <c r="AP50" s="5" t="s">
        <v>458</v>
      </c>
      <c r="AQ50" s="5" t="s">
        <v>458</v>
      </c>
      <c r="AR50" s="5" t="s">
        <v>458</v>
      </c>
      <c r="AS50" s="5" t="s">
        <v>458</v>
      </c>
      <c r="AT50" s="5" t="s">
        <v>458</v>
      </c>
      <c r="AU50" s="5" t="s">
        <v>458</v>
      </c>
      <c r="AV50" s="5" t="s">
        <v>458</v>
      </c>
      <c r="AW50" s="5" t="s">
        <v>458</v>
      </c>
      <c r="AX50" s="5" t="s">
        <v>458</v>
      </c>
      <c r="AY50" s="5" t="s">
        <v>458</v>
      </c>
      <c r="AZ50" s="5" t="s">
        <v>458</v>
      </c>
      <c r="BA50" s="5" t="s">
        <v>458</v>
      </c>
      <c r="BB50" s="5" t="s">
        <v>458</v>
      </c>
      <c r="BC50" s="5" t="s">
        <v>458</v>
      </c>
      <c r="BD50" s="5" t="s">
        <v>458</v>
      </c>
      <c r="BG50" s="3"/>
      <c r="BH50" s="3"/>
    </row>
    <row r="51" spans="1:100" s="18" customFormat="1" x14ac:dyDescent="0.2">
      <c r="A51" s="23">
        <v>5</v>
      </c>
      <c r="B51" s="30">
        <v>48</v>
      </c>
      <c r="C51" s="30" t="s">
        <v>46</v>
      </c>
      <c r="D51" s="18">
        <v>33.953490000000002</v>
      </c>
      <c r="E51" s="18">
        <v>99.767439999999993</v>
      </c>
      <c r="F51" s="18">
        <v>99.894783000000004</v>
      </c>
      <c r="G51" s="18">
        <v>99.994782999999998</v>
      </c>
      <c r="H51" s="315" t="s">
        <v>458</v>
      </c>
      <c r="I51" s="315" t="s">
        <v>458</v>
      </c>
      <c r="J51" s="315" t="s">
        <v>458</v>
      </c>
      <c r="K51" s="315" t="s">
        <v>458</v>
      </c>
      <c r="L51" s="315" t="s">
        <v>458</v>
      </c>
      <c r="M51" s="315" t="s">
        <v>458</v>
      </c>
      <c r="N51" s="315" t="s">
        <v>458</v>
      </c>
      <c r="O51" s="315" t="s">
        <v>458</v>
      </c>
      <c r="P51" s="19" t="s">
        <v>458</v>
      </c>
      <c r="Q51" s="19" t="s">
        <v>458</v>
      </c>
      <c r="R51" s="19" t="s">
        <v>458</v>
      </c>
      <c r="S51" s="19" t="s">
        <v>458</v>
      </c>
      <c r="T51" s="19" t="s">
        <v>458</v>
      </c>
      <c r="U51" s="19" t="s">
        <v>458</v>
      </c>
      <c r="V51" s="19" t="s">
        <v>458</v>
      </c>
      <c r="W51" s="19" t="s">
        <v>458</v>
      </c>
      <c r="X51" s="19" t="s">
        <v>458</v>
      </c>
      <c r="Y51" s="19" t="s">
        <v>458</v>
      </c>
      <c r="Z51" s="19" t="s">
        <v>458</v>
      </c>
      <c r="AA51" s="19" t="s">
        <v>458</v>
      </c>
      <c r="AB51" s="19" t="s">
        <v>458</v>
      </c>
      <c r="AC51" s="19" t="s">
        <v>458</v>
      </c>
      <c r="AD51" s="19" t="s">
        <v>458</v>
      </c>
      <c r="AE51" s="19" t="s">
        <v>458</v>
      </c>
      <c r="AF51" s="19" t="s">
        <v>458</v>
      </c>
      <c r="AG51" s="19" t="s">
        <v>458</v>
      </c>
      <c r="AH51" s="19" t="s">
        <v>458</v>
      </c>
      <c r="AI51" s="19" t="s">
        <v>458</v>
      </c>
      <c r="AJ51" s="19" t="s">
        <v>458</v>
      </c>
      <c r="AK51" s="19" t="s">
        <v>458</v>
      </c>
      <c r="AL51" s="19" t="s">
        <v>458</v>
      </c>
      <c r="AM51" s="19" t="s">
        <v>458</v>
      </c>
      <c r="AN51" s="19" t="s">
        <v>458</v>
      </c>
      <c r="AO51" s="19" t="s">
        <v>458</v>
      </c>
      <c r="AP51" s="19" t="s">
        <v>458</v>
      </c>
      <c r="AQ51" s="19" t="s">
        <v>458</v>
      </c>
      <c r="AR51" s="19" t="s">
        <v>458</v>
      </c>
      <c r="AS51" s="19" t="s">
        <v>458</v>
      </c>
      <c r="AT51" s="19" t="s">
        <v>458</v>
      </c>
      <c r="AU51" s="19" t="s">
        <v>458</v>
      </c>
      <c r="AV51" s="19" t="s">
        <v>458</v>
      </c>
      <c r="AW51" s="19" t="s">
        <v>458</v>
      </c>
      <c r="AX51" s="19" t="s">
        <v>458</v>
      </c>
      <c r="AY51" s="19" t="s">
        <v>458</v>
      </c>
      <c r="AZ51" s="19" t="s">
        <v>458</v>
      </c>
      <c r="BA51" s="19" t="s">
        <v>458</v>
      </c>
      <c r="BB51" s="19" t="s">
        <v>458</v>
      </c>
      <c r="BC51" s="19" t="s">
        <v>458</v>
      </c>
      <c r="BD51" s="19" t="s">
        <v>458</v>
      </c>
      <c r="BG51" s="47"/>
      <c r="BH51" s="47"/>
    </row>
    <row r="52" spans="1:100" x14ac:dyDescent="0.2">
      <c r="A52" s="21">
        <v>6</v>
      </c>
      <c r="B52" s="29">
        <v>5</v>
      </c>
      <c r="C52" s="29" t="s">
        <v>49</v>
      </c>
      <c r="D52" s="5">
        <v>0.63988999999999996</v>
      </c>
      <c r="E52" s="5">
        <v>1.4542900000000001</v>
      </c>
      <c r="F52" s="5">
        <v>1.51247</v>
      </c>
      <c r="G52" s="5">
        <v>1.53186</v>
      </c>
      <c r="H52" s="5">
        <v>2.5789499999999999</v>
      </c>
      <c r="I52" s="5" t="s">
        <v>458</v>
      </c>
      <c r="J52" s="5" t="s">
        <v>458</v>
      </c>
      <c r="K52" s="5" t="s">
        <v>458</v>
      </c>
      <c r="L52" s="5" t="s">
        <v>458</v>
      </c>
      <c r="M52" s="5" t="s">
        <v>458</v>
      </c>
      <c r="N52" s="5" t="s">
        <v>458</v>
      </c>
      <c r="O52" s="5" t="s">
        <v>458</v>
      </c>
      <c r="P52" s="5" t="s">
        <v>458</v>
      </c>
      <c r="Q52" s="5" t="s">
        <v>458</v>
      </c>
      <c r="R52" s="5" t="s">
        <v>458</v>
      </c>
      <c r="S52" s="5" t="s">
        <v>458</v>
      </c>
      <c r="T52" s="5" t="s">
        <v>458</v>
      </c>
      <c r="U52" s="5" t="s">
        <v>458</v>
      </c>
      <c r="V52" s="5" t="s">
        <v>458</v>
      </c>
      <c r="W52" s="5" t="s">
        <v>458</v>
      </c>
      <c r="X52" s="5" t="s">
        <v>458</v>
      </c>
      <c r="Y52" s="5" t="s">
        <v>458</v>
      </c>
      <c r="Z52" s="5" t="s">
        <v>458</v>
      </c>
      <c r="AA52" s="5" t="s">
        <v>458</v>
      </c>
      <c r="AB52" s="5" t="s">
        <v>458</v>
      </c>
      <c r="AC52" s="5" t="s">
        <v>458</v>
      </c>
      <c r="AD52" s="5" t="s">
        <v>458</v>
      </c>
      <c r="AE52" s="5" t="s">
        <v>458</v>
      </c>
      <c r="AF52" s="5" t="s">
        <v>458</v>
      </c>
      <c r="AG52" s="5" t="s">
        <v>458</v>
      </c>
      <c r="AH52" s="5" t="s">
        <v>458</v>
      </c>
      <c r="AI52" s="5" t="s">
        <v>458</v>
      </c>
      <c r="AJ52" s="5" t="s">
        <v>458</v>
      </c>
      <c r="AK52" s="5" t="s">
        <v>458</v>
      </c>
      <c r="AL52" s="5" t="s">
        <v>458</v>
      </c>
      <c r="AM52" s="5" t="s">
        <v>458</v>
      </c>
      <c r="AN52" s="5" t="s">
        <v>458</v>
      </c>
      <c r="AO52" s="5" t="s">
        <v>458</v>
      </c>
      <c r="AP52" s="5" t="s">
        <v>458</v>
      </c>
      <c r="AQ52" s="5" t="s">
        <v>458</v>
      </c>
      <c r="AR52" s="5" t="s">
        <v>458</v>
      </c>
      <c r="AS52" s="5" t="s">
        <v>458</v>
      </c>
      <c r="AT52" s="5" t="s">
        <v>458</v>
      </c>
      <c r="AU52" s="5" t="s">
        <v>458</v>
      </c>
      <c r="AV52" s="5" t="s">
        <v>458</v>
      </c>
      <c r="AW52" s="5" t="s">
        <v>458</v>
      </c>
      <c r="AX52" s="5" t="s">
        <v>458</v>
      </c>
      <c r="AY52" s="5" t="s">
        <v>458</v>
      </c>
      <c r="AZ52" s="5" t="s">
        <v>458</v>
      </c>
      <c r="BA52" s="5" t="s">
        <v>458</v>
      </c>
      <c r="BB52" s="5" t="s">
        <v>458</v>
      </c>
      <c r="BC52" s="5" t="s">
        <v>458</v>
      </c>
      <c r="BD52" s="5" t="s">
        <v>458</v>
      </c>
      <c r="BE52" s="5"/>
      <c r="BG52" s="3"/>
      <c r="BH52" s="3"/>
    </row>
    <row r="53" spans="1:100" x14ac:dyDescent="0.2">
      <c r="A53" s="8">
        <v>6</v>
      </c>
      <c r="B53" s="8">
        <v>6</v>
      </c>
      <c r="C53" s="8" t="s">
        <v>48</v>
      </c>
      <c r="D53" s="5">
        <v>0.69806000000000001</v>
      </c>
      <c r="E53" s="5">
        <v>1.6675899999999999</v>
      </c>
      <c r="F53" s="5">
        <v>2.36565</v>
      </c>
      <c r="G53" s="5">
        <v>3.6066500000000001</v>
      </c>
      <c r="H53" s="5">
        <v>6.7091399999999997</v>
      </c>
      <c r="I53" s="5" t="s">
        <v>458</v>
      </c>
      <c r="J53" s="5" t="s">
        <v>458</v>
      </c>
      <c r="K53" s="5" t="s">
        <v>458</v>
      </c>
      <c r="L53" s="5" t="s">
        <v>458</v>
      </c>
      <c r="M53" s="5" t="s">
        <v>458</v>
      </c>
      <c r="N53" s="5" t="s">
        <v>458</v>
      </c>
      <c r="O53" s="5" t="s">
        <v>458</v>
      </c>
      <c r="P53" s="5" t="s">
        <v>458</v>
      </c>
      <c r="Q53" s="5" t="s">
        <v>458</v>
      </c>
      <c r="R53" s="5" t="s">
        <v>458</v>
      </c>
      <c r="S53" s="5" t="s">
        <v>458</v>
      </c>
      <c r="T53" s="5" t="s">
        <v>458</v>
      </c>
      <c r="U53" s="5" t="s">
        <v>458</v>
      </c>
      <c r="V53" s="5" t="s">
        <v>458</v>
      </c>
      <c r="W53" s="5" t="s">
        <v>458</v>
      </c>
      <c r="X53" s="5" t="s">
        <v>458</v>
      </c>
      <c r="Y53" s="5" t="s">
        <v>458</v>
      </c>
      <c r="Z53" s="5" t="s">
        <v>458</v>
      </c>
      <c r="AA53" s="5" t="s">
        <v>458</v>
      </c>
      <c r="AB53" s="5" t="s">
        <v>458</v>
      </c>
      <c r="AC53" s="5" t="s">
        <v>458</v>
      </c>
      <c r="AD53" s="5" t="s">
        <v>458</v>
      </c>
      <c r="AE53" s="5" t="s">
        <v>458</v>
      </c>
      <c r="AF53" s="5" t="s">
        <v>458</v>
      </c>
      <c r="AG53" s="5" t="s">
        <v>458</v>
      </c>
      <c r="AH53" s="5" t="s">
        <v>458</v>
      </c>
      <c r="AI53" s="5" t="s">
        <v>458</v>
      </c>
      <c r="AJ53" s="5" t="s">
        <v>458</v>
      </c>
      <c r="AK53" s="5" t="s">
        <v>458</v>
      </c>
      <c r="AL53" s="5" t="s">
        <v>458</v>
      </c>
      <c r="AM53" s="5" t="s">
        <v>458</v>
      </c>
      <c r="AN53" s="5" t="s">
        <v>458</v>
      </c>
      <c r="AO53" s="5" t="s">
        <v>458</v>
      </c>
      <c r="AP53" s="5" t="s">
        <v>458</v>
      </c>
      <c r="AQ53" s="5" t="s">
        <v>458</v>
      </c>
      <c r="AR53" s="5" t="s">
        <v>458</v>
      </c>
      <c r="AS53" s="5" t="s">
        <v>458</v>
      </c>
      <c r="AT53" s="5" t="s">
        <v>458</v>
      </c>
      <c r="AU53" s="5" t="s">
        <v>458</v>
      </c>
      <c r="AV53" s="5" t="s">
        <v>458</v>
      </c>
      <c r="AW53" s="5" t="s">
        <v>458</v>
      </c>
      <c r="AX53" s="5" t="s">
        <v>458</v>
      </c>
      <c r="AY53" s="5" t="s">
        <v>458</v>
      </c>
      <c r="AZ53" s="5" t="s">
        <v>458</v>
      </c>
      <c r="BA53" s="5" t="s">
        <v>458</v>
      </c>
      <c r="BB53" s="5" t="s">
        <v>458</v>
      </c>
      <c r="BC53" s="5" t="s">
        <v>458</v>
      </c>
      <c r="BD53" s="5" t="s">
        <v>458</v>
      </c>
      <c r="BE53" s="5"/>
      <c r="BG53" s="3"/>
      <c r="BH53" s="3"/>
    </row>
    <row r="54" spans="1:100" s="18" customFormat="1" x14ac:dyDescent="0.2">
      <c r="A54" s="23">
        <v>6</v>
      </c>
      <c r="B54" s="30">
        <v>7</v>
      </c>
      <c r="C54" s="30" t="s">
        <v>47</v>
      </c>
      <c r="D54" s="19">
        <v>1.6482000000000001</v>
      </c>
      <c r="E54" s="19">
        <v>3.4321299999999999</v>
      </c>
      <c r="F54" s="19">
        <v>4.61496</v>
      </c>
      <c r="G54" s="19">
        <v>6.9224399999999999</v>
      </c>
      <c r="H54" s="19" t="s">
        <v>458</v>
      </c>
      <c r="I54" s="19" t="s">
        <v>458</v>
      </c>
      <c r="J54" s="19" t="s">
        <v>458</v>
      </c>
      <c r="K54" s="19" t="s">
        <v>458</v>
      </c>
      <c r="L54" s="19" t="s">
        <v>458</v>
      </c>
      <c r="M54" s="19" t="s">
        <v>458</v>
      </c>
      <c r="N54" s="19" t="s">
        <v>458</v>
      </c>
      <c r="O54" s="19" t="s">
        <v>458</v>
      </c>
      <c r="P54" s="19" t="s">
        <v>458</v>
      </c>
      <c r="Q54" s="19" t="s">
        <v>458</v>
      </c>
      <c r="R54" s="19" t="s">
        <v>458</v>
      </c>
      <c r="S54" s="19" t="s">
        <v>458</v>
      </c>
      <c r="T54" s="19" t="s">
        <v>458</v>
      </c>
      <c r="U54" s="19" t="s">
        <v>458</v>
      </c>
      <c r="V54" s="19" t="s">
        <v>458</v>
      </c>
      <c r="W54" s="19" t="s">
        <v>458</v>
      </c>
      <c r="X54" s="19" t="s">
        <v>458</v>
      </c>
      <c r="Y54" s="19" t="s">
        <v>458</v>
      </c>
      <c r="Z54" s="19" t="s">
        <v>458</v>
      </c>
      <c r="AA54" s="19" t="s">
        <v>458</v>
      </c>
      <c r="AB54" s="19" t="s">
        <v>458</v>
      </c>
      <c r="AC54" s="19" t="s">
        <v>458</v>
      </c>
      <c r="AD54" s="19" t="s">
        <v>458</v>
      </c>
      <c r="AE54" s="19" t="s">
        <v>458</v>
      </c>
      <c r="AF54" s="19" t="s">
        <v>458</v>
      </c>
      <c r="AG54" s="19" t="s">
        <v>458</v>
      </c>
      <c r="AH54" s="19" t="s">
        <v>458</v>
      </c>
      <c r="AI54" s="19" t="s">
        <v>458</v>
      </c>
      <c r="AJ54" s="19" t="s">
        <v>458</v>
      </c>
      <c r="AK54" s="19" t="s">
        <v>458</v>
      </c>
      <c r="AL54" s="19" t="s">
        <v>458</v>
      </c>
      <c r="AM54" s="19" t="s">
        <v>458</v>
      </c>
      <c r="AN54" s="19" t="s">
        <v>458</v>
      </c>
      <c r="AO54" s="19" t="s">
        <v>458</v>
      </c>
      <c r="AP54" s="19" t="s">
        <v>458</v>
      </c>
      <c r="AQ54" s="19" t="s">
        <v>458</v>
      </c>
      <c r="AR54" s="19" t="s">
        <v>458</v>
      </c>
      <c r="AS54" s="19" t="s">
        <v>458</v>
      </c>
      <c r="AT54" s="19" t="s">
        <v>458</v>
      </c>
      <c r="AU54" s="19" t="s">
        <v>458</v>
      </c>
      <c r="AV54" s="19" t="s">
        <v>458</v>
      </c>
      <c r="AW54" s="19" t="s">
        <v>458</v>
      </c>
      <c r="AX54" s="19" t="s">
        <v>458</v>
      </c>
      <c r="AY54" s="19" t="s">
        <v>458</v>
      </c>
      <c r="AZ54" s="19" t="s">
        <v>458</v>
      </c>
      <c r="BA54" s="19" t="s">
        <v>458</v>
      </c>
      <c r="BB54" s="19" t="s">
        <v>458</v>
      </c>
      <c r="BC54" s="19" t="s">
        <v>458</v>
      </c>
      <c r="BD54" s="19" t="s">
        <v>458</v>
      </c>
      <c r="BE54" s="19"/>
      <c r="BG54" s="47"/>
      <c r="BH54" s="47"/>
    </row>
    <row r="55" spans="1:100" s="20" customFormat="1" x14ac:dyDescent="0.2">
      <c r="A55" s="24">
        <v>8</v>
      </c>
      <c r="B55" s="15">
        <v>1</v>
      </c>
      <c r="C55" s="15" t="s">
        <v>32</v>
      </c>
      <c r="D55" s="316">
        <v>16.845880000000001</v>
      </c>
      <c r="E55" s="316">
        <v>19.713259999999998</v>
      </c>
      <c r="F55" s="316">
        <v>25.268820000000002</v>
      </c>
      <c r="G55" s="316">
        <v>29.569890000000001</v>
      </c>
      <c r="H55" s="316">
        <v>56.451610000000002</v>
      </c>
      <c r="I55" s="316">
        <v>81.003579999999999</v>
      </c>
      <c r="J55" s="316" t="s">
        <v>458</v>
      </c>
      <c r="K55" s="316" t="s">
        <v>458</v>
      </c>
      <c r="L55" s="316" t="s">
        <v>458</v>
      </c>
      <c r="M55" s="316" t="s">
        <v>458</v>
      </c>
      <c r="N55" s="316" t="s">
        <v>458</v>
      </c>
      <c r="O55" s="316" t="s">
        <v>458</v>
      </c>
      <c r="P55" s="316" t="s">
        <v>458</v>
      </c>
      <c r="Q55" s="316" t="s">
        <v>458</v>
      </c>
      <c r="R55" s="316" t="s">
        <v>458</v>
      </c>
      <c r="S55" s="316" t="s">
        <v>458</v>
      </c>
      <c r="T55" s="316" t="s">
        <v>458</v>
      </c>
      <c r="U55" s="316" t="s">
        <v>458</v>
      </c>
      <c r="V55" s="316" t="s">
        <v>458</v>
      </c>
      <c r="W55" s="316" t="s">
        <v>458</v>
      </c>
      <c r="X55" s="316" t="s">
        <v>458</v>
      </c>
      <c r="Y55" s="316" t="s">
        <v>458</v>
      </c>
      <c r="Z55" s="316" t="s">
        <v>458</v>
      </c>
      <c r="AA55" s="316" t="s">
        <v>458</v>
      </c>
      <c r="AB55" s="316" t="s">
        <v>458</v>
      </c>
      <c r="AC55" s="316" t="s">
        <v>458</v>
      </c>
      <c r="AD55" s="316" t="s">
        <v>458</v>
      </c>
      <c r="AE55" s="316" t="s">
        <v>458</v>
      </c>
      <c r="AF55" s="316" t="s">
        <v>458</v>
      </c>
      <c r="AG55" s="316" t="s">
        <v>458</v>
      </c>
      <c r="AH55" s="316" t="s">
        <v>458</v>
      </c>
      <c r="AI55" s="316" t="s">
        <v>458</v>
      </c>
      <c r="AJ55" s="316" t="s">
        <v>458</v>
      </c>
      <c r="AK55" s="316" t="s">
        <v>458</v>
      </c>
      <c r="AL55" s="316" t="s">
        <v>458</v>
      </c>
      <c r="AM55" s="316" t="s">
        <v>458</v>
      </c>
      <c r="AN55" s="316" t="s">
        <v>458</v>
      </c>
      <c r="AO55" s="316" t="s">
        <v>458</v>
      </c>
      <c r="AP55" s="316" t="s">
        <v>458</v>
      </c>
      <c r="AQ55" s="316" t="s">
        <v>458</v>
      </c>
      <c r="AR55" s="316" t="s">
        <v>458</v>
      </c>
      <c r="AS55" s="316" t="s">
        <v>458</v>
      </c>
      <c r="AT55" s="316" t="s">
        <v>458</v>
      </c>
      <c r="AU55" s="316" t="s">
        <v>458</v>
      </c>
      <c r="AV55" s="316" t="s">
        <v>458</v>
      </c>
      <c r="AW55" s="316" t="s">
        <v>458</v>
      </c>
      <c r="AX55" s="316" t="s">
        <v>458</v>
      </c>
      <c r="AY55" s="316" t="s">
        <v>458</v>
      </c>
      <c r="AZ55" s="316" t="s">
        <v>458</v>
      </c>
      <c r="BA55" s="316" t="s">
        <v>458</v>
      </c>
      <c r="BB55" s="316" t="s">
        <v>458</v>
      </c>
      <c r="BC55" s="316" t="s">
        <v>458</v>
      </c>
      <c r="BD55" s="316" t="s">
        <v>458</v>
      </c>
      <c r="BE55" s="316"/>
      <c r="BG55" s="340"/>
      <c r="BH55" s="340"/>
    </row>
    <row r="56" spans="1:100" x14ac:dyDescent="0.2">
      <c r="A56" s="8">
        <v>9</v>
      </c>
      <c r="B56" s="8">
        <v>1</v>
      </c>
      <c r="C56" s="8" t="s">
        <v>223</v>
      </c>
      <c r="D56" s="5">
        <v>0.7856000000000023</v>
      </c>
      <c r="E56" s="5">
        <v>2.4549899999999951</v>
      </c>
      <c r="F56" s="5">
        <v>3.2405899999999974</v>
      </c>
      <c r="G56" s="5">
        <v>4.2716900000000066</v>
      </c>
      <c r="H56" s="5">
        <v>5.2536800000000028</v>
      </c>
      <c r="I56" s="5">
        <v>6.2356800000000021</v>
      </c>
      <c r="J56" s="5">
        <v>8.3960699999999946</v>
      </c>
      <c r="K56" s="5">
        <v>10.556460000000001</v>
      </c>
      <c r="L56" s="5" t="s">
        <v>458</v>
      </c>
      <c r="M56" s="5" t="s">
        <v>458</v>
      </c>
      <c r="N56" s="5" t="s">
        <v>458</v>
      </c>
      <c r="O56" s="5" t="s">
        <v>458</v>
      </c>
      <c r="P56" s="5" t="s">
        <v>458</v>
      </c>
      <c r="Q56" s="5" t="s">
        <v>458</v>
      </c>
      <c r="R56" s="5" t="s">
        <v>458</v>
      </c>
      <c r="S56" s="5" t="s">
        <v>458</v>
      </c>
      <c r="T56" s="5" t="s">
        <v>458</v>
      </c>
      <c r="U56" s="5" t="s">
        <v>458</v>
      </c>
      <c r="V56" s="5" t="s">
        <v>458</v>
      </c>
      <c r="W56" s="5" t="s">
        <v>458</v>
      </c>
      <c r="X56" s="5" t="s">
        <v>458</v>
      </c>
      <c r="Y56" s="5" t="s">
        <v>458</v>
      </c>
      <c r="Z56" s="5" t="s">
        <v>458</v>
      </c>
      <c r="AA56" s="5" t="s">
        <v>458</v>
      </c>
      <c r="AB56" s="5" t="s">
        <v>458</v>
      </c>
      <c r="AC56" s="5" t="s">
        <v>458</v>
      </c>
      <c r="AD56" s="5" t="s">
        <v>458</v>
      </c>
      <c r="AE56" s="5" t="s">
        <v>458</v>
      </c>
      <c r="AF56" s="5" t="s">
        <v>458</v>
      </c>
      <c r="AG56" s="5" t="s">
        <v>458</v>
      </c>
      <c r="AH56" s="5" t="s">
        <v>458</v>
      </c>
      <c r="AI56" s="5" t="s">
        <v>458</v>
      </c>
      <c r="AJ56" s="5" t="s">
        <v>458</v>
      </c>
      <c r="AK56" s="5" t="s">
        <v>458</v>
      </c>
      <c r="AL56" s="5" t="s">
        <v>458</v>
      </c>
      <c r="AM56" s="5" t="s">
        <v>458</v>
      </c>
      <c r="AN56" s="5" t="s">
        <v>458</v>
      </c>
      <c r="AO56" s="5" t="s">
        <v>458</v>
      </c>
      <c r="AP56" s="5" t="s">
        <v>458</v>
      </c>
      <c r="AQ56" s="5" t="s">
        <v>458</v>
      </c>
      <c r="AR56" s="5" t="s">
        <v>458</v>
      </c>
      <c r="AS56" s="5" t="s">
        <v>458</v>
      </c>
      <c r="AT56" s="5" t="s">
        <v>458</v>
      </c>
      <c r="AU56" s="5" t="s">
        <v>458</v>
      </c>
      <c r="AV56" s="5" t="s">
        <v>458</v>
      </c>
      <c r="AW56" s="5" t="s">
        <v>458</v>
      </c>
      <c r="AX56" s="5" t="s">
        <v>458</v>
      </c>
      <c r="AY56" s="5" t="s">
        <v>458</v>
      </c>
      <c r="AZ56" s="5" t="s">
        <v>458</v>
      </c>
      <c r="BA56" s="5" t="s">
        <v>458</v>
      </c>
      <c r="BB56" s="5" t="s">
        <v>458</v>
      </c>
      <c r="BC56" s="5" t="s">
        <v>458</v>
      </c>
      <c r="BD56" s="5" t="s">
        <v>458</v>
      </c>
      <c r="BE56" s="5"/>
      <c r="BG56" s="3"/>
      <c r="BH56" s="3"/>
    </row>
    <row r="57" spans="1:100" x14ac:dyDescent="0.2">
      <c r="A57" s="21">
        <v>9</v>
      </c>
      <c r="B57" s="29">
        <v>4</v>
      </c>
      <c r="C57" s="29" t="s">
        <v>226</v>
      </c>
      <c r="D57">
        <v>95.679209999999998</v>
      </c>
      <c r="E57">
        <v>93.960719999999995</v>
      </c>
      <c r="F57">
        <v>85.908349999999999</v>
      </c>
      <c r="G57">
        <v>90.130930000000006</v>
      </c>
      <c r="H57">
        <v>83.895250000000004</v>
      </c>
      <c r="I57">
        <v>82.913259999999994</v>
      </c>
      <c r="J57">
        <v>80.851060000000004</v>
      </c>
      <c r="K57">
        <v>79.819969999999998</v>
      </c>
      <c r="L57" s="5" t="s">
        <v>458</v>
      </c>
      <c r="M57" s="5" t="s">
        <v>458</v>
      </c>
      <c r="N57" s="5" t="s">
        <v>458</v>
      </c>
      <c r="O57" s="5" t="s">
        <v>458</v>
      </c>
      <c r="P57" s="5" t="s">
        <v>458</v>
      </c>
      <c r="Q57" s="5" t="s">
        <v>458</v>
      </c>
      <c r="R57" s="5" t="s">
        <v>458</v>
      </c>
      <c r="S57" s="5" t="s">
        <v>458</v>
      </c>
      <c r="T57" s="5" t="s">
        <v>458</v>
      </c>
      <c r="U57" s="5" t="s">
        <v>458</v>
      </c>
      <c r="V57" s="5" t="s">
        <v>458</v>
      </c>
      <c r="W57" s="5" t="s">
        <v>458</v>
      </c>
      <c r="X57" s="5" t="s">
        <v>458</v>
      </c>
      <c r="Y57" s="5" t="s">
        <v>458</v>
      </c>
      <c r="Z57" s="5" t="s">
        <v>458</v>
      </c>
      <c r="AA57" s="5" t="s">
        <v>458</v>
      </c>
      <c r="AB57" s="5" t="s">
        <v>458</v>
      </c>
      <c r="AC57" s="5" t="s">
        <v>458</v>
      </c>
      <c r="AD57" s="5" t="s">
        <v>458</v>
      </c>
      <c r="AE57" s="5" t="s">
        <v>458</v>
      </c>
      <c r="AF57" s="5" t="s">
        <v>458</v>
      </c>
      <c r="AG57" s="5" t="s">
        <v>458</v>
      </c>
      <c r="AH57" s="5" t="s">
        <v>458</v>
      </c>
      <c r="AI57" s="5" t="s">
        <v>458</v>
      </c>
      <c r="AJ57" s="5" t="s">
        <v>458</v>
      </c>
      <c r="AK57" s="5" t="s">
        <v>458</v>
      </c>
      <c r="AL57" s="5" t="s">
        <v>458</v>
      </c>
      <c r="AM57" s="5" t="s">
        <v>458</v>
      </c>
      <c r="AN57" s="5" t="s">
        <v>458</v>
      </c>
      <c r="AO57" s="5" t="s">
        <v>458</v>
      </c>
      <c r="AP57" s="5" t="s">
        <v>458</v>
      </c>
      <c r="AQ57" s="5" t="s">
        <v>458</v>
      </c>
      <c r="AR57" s="5" t="s">
        <v>458</v>
      </c>
      <c r="AS57" s="5" t="s">
        <v>458</v>
      </c>
      <c r="AT57" s="5" t="s">
        <v>458</v>
      </c>
      <c r="AU57" s="5" t="s">
        <v>458</v>
      </c>
      <c r="AV57" s="5" t="s">
        <v>458</v>
      </c>
      <c r="AW57" s="5" t="s">
        <v>458</v>
      </c>
      <c r="AX57" s="5" t="s">
        <v>458</v>
      </c>
      <c r="AY57" s="5" t="s">
        <v>458</v>
      </c>
      <c r="AZ57" s="5" t="s">
        <v>458</v>
      </c>
      <c r="BA57" s="5" t="s">
        <v>458</v>
      </c>
      <c r="BB57" s="5" t="s">
        <v>458</v>
      </c>
      <c r="BC57" s="5" t="s">
        <v>458</v>
      </c>
      <c r="BD57" s="5" t="s">
        <v>458</v>
      </c>
      <c r="BE57" s="5"/>
      <c r="BG57" s="3"/>
      <c r="BH57" s="3"/>
    </row>
    <row r="58" spans="1:100" s="18" customFormat="1" x14ac:dyDescent="0.2">
      <c r="A58" s="23">
        <v>9</v>
      </c>
      <c r="B58" s="30">
        <v>8</v>
      </c>
      <c r="C58" s="30" t="s">
        <v>230</v>
      </c>
      <c r="D58" s="18">
        <v>94.599019999999996</v>
      </c>
      <c r="E58" s="18">
        <v>91.800330000000002</v>
      </c>
      <c r="F58" s="18">
        <v>91.063829999999996</v>
      </c>
      <c r="G58" s="18">
        <v>84.729950000000002</v>
      </c>
      <c r="H58" s="18">
        <v>83.649749999999997</v>
      </c>
      <c r="I58" s="18">
        <v>82.765960000000007</v>
      </c>
      <c r="J58" s="18">
        <v>80.949259999999995</v>
      </c>
      <c r="K58" s="18">
        <v>79.721770000000006</v>
      </c>
      <c r="L58" s="19" t="s">
        <v>458</v>
      </c>
      <c r="M58" s="19" t="s">
        <v>458</v>
      </c>
      <c r="N58" s="19" t="s">
        <v>458</v>
      </c>
      <c r="O58" s="19" t="s">
        <v>458</v>
      </c>
      <c r="P58" s="19" t="s">
        <v>458</v>
      </c>
      <c r="Q58" s="19" t="s">
        <v>458</v>
      </c>
      <c r="R58" s="19" t="s">
        <v>458</v>
      </c>
      <c r="S58" s="19" t="s">
        <v>458</v>
      </c>
      <c r="T58" s="19" t="s">
        <v>458</v>
      </c>
      <c r="U58" s="19" t="s">
        <v>458</v>
      </c>
      <c r="V58" s="19" t="s">
        <v>458</v>
      </c>
      <c r="W58" s="19" t="s">
        <v>458</v>
      </c>
      <c r="X58" s="19" t="s">
        <v>458</v>
      </c>
      <c r="Y58" s="19" t="s">
        <v>458</v>
      </c>
      <c r="Z58" s="19" t="s">
        <v>458</v>
      </c>
      <c r="AA58" s="19" t="s">
        <v>458</v>
      </c>
      <c r="AB58" s="19" t="s">
        <v>458</v>
      </c>
      <c r="AC58" s="19" t="s">
        <v>458</v>
      </c>
      <c r="AD58" s="19" t="s">
        <v>458</v>
      </c>
      <c r="AE58" s="19" t="s">
        <v>458</v>
      </c>
      <c r="AF58" s="19" t="s">
        <v>458</v>
      </c>
      <c r="AG58" s="19" t="s">
        <v>458</v>
      </c>
      <c r="AH58" s="19" t="s">
        <v>458</v>
      </c>
      <c r="AI58" s="19" t="s">
        <v>458</v>
      </c>
      <c r="AJ58" s="19" t="s">
        <v>458</v>
      </c>
      <c r="AK58" s="19" t="s">
        <v>458</v>
      </c>
      <c r="AL58" s="19" t="s">
        <v>458</v>
      </c>
      <c r="AM58" s="19" t="s">
        <v>458</v>
      </c>
      <c r="AN58" s="19" t="s">
        <v>458</v>
      </c>
      <c r="AO58" s="19" t="s">
        <v>458</v>
      </c>
      <c r="AP58" s="19" t="s">
        <v>458</v>
      </c>
      <c r="AQ58" s="19" t="s">
        <v>458</v>
      </c>
      <c r="AR58" s="19" t="s">
        <v>458</v>
      </c>
      <c r="AS58" s="19" t="s">
        <v>458</v>
      </c>
      <c r="AT58" s="19" t="s">
        <v>458</v>
      </c>
      <c r="AU58" s="19" t="s">
        <v>458</v>
      </c>
      <c r="AV58" s="19" t="s">
        <v>458</v>
      </c>
      <c r="AW58" s="19" t="s">
        <v>458</v>
      </c>
      <c r="AX58" s="19" t="s">
        <v>458</v>
      </c>
      <c r="AY58" s="19" t="s">
        <v>458</v>
      </c>
      <c r="AZ58" s="19" t="s">
        <v>458</v>
      </c>
      <c r="BA58" s="19" t="s">
        <v>458</v>
      </c>
      <c r="BB58" s="19" t="s">
        <v>458</v>
      </c>
      <c r="BC58" s="19" t="s">
        <v>458</v>
      </c>
      <c r="BD58" s="19" t="s">
        <v>458</v>
      </c>
      <c r="BE58" s="19"/>
      <c r="BG58" s="47"/>
      <c r="BH58" s="47"/>
    </row>
    <row r="59" spans="1:100" x14ac:dyDescent="0.2">
      <c r="A59" s="21">
        <v>10</v>
      </c>
      <c r="B59" s="29">
        <v>8</v>
      </c>
      <c r="C59" s="29" t="s">
        <v>242</v>
      </c>
      <c r="D59" s="5">
        <v>1.8815299999999999</v>
      </c>
      <c r="E59" s="5">
        <v>12.334490000000001</v>
      </c>
      <c r="F59" s="5">
        <v>21.114979999999999</v>
      </c>
      <c r="G59" s="5">
        <v>27.909410000000001</v>
      </c>
      <c r="H59" s="5">
        <v>34.181179999999998</v>
      </c>
      <c r="I59" s="5">
        <v>39.930309999999999</v>
      </c>
      <c r="J59" s="5">
        <v>42.961669999999998</v>
      </c>
      <c r="K59" s="5">
        <v>45.365850000000002</v>
      </c>
      <c r="L59" s="5">
        <v>46.202089999999998</v>
      </c>
      <c r="M59" s="5" t="s">
        <v>458</v>
      </c>
      <c r="N59" s="5" t="s">
        <v>458</v>
      </c>
      <c r="O59" s="5" t="s">
        <v>458</v>
      </c>
      <c r="P59" s="5" t="s">
        <v>458</v>
      </c>
      <c r="Q59" s="5" t="s">
        <v>458</v>
      </c>
      <c r="R59" s="5" t="s">
        <v>458</v>
      </c>
      <c r="S59" s="5" t="s">
        <v>458</v>
      </c>
      <c r="T59" s="5" t="s">
        <v>458</v>
      </c>
      <c r="U59" s="5" t="s">
        <v>458</v>
      </c>
      <c r="V59" s="5" t="s">
        <v>458</v>
      </c>
      <c r="W59" s="5" t="s">
        <v>458</v>
      </c>
      <c r="X59" s="5" t="s">
        <v>458</v>
      </c>
      <c r="Y59" s="5" t="s">
        <v>458</v>
      </c>
      <c r="Z59" s="5" t="s">
        <v>458</v>
      </c>
      <c r="AA59" s="5" t="s">
        <v>458</v>
      </c>
      <c r="AB59" s="5" t="s">
        <v>458</v>
      </c>
      <c r="AC59" s="5" t="s">
        <v>458</v>
      </c>
      <c r="AD59" s="5" t="s">
        <v>458</v>
      </c>
      <c r="AE59" s="5" t="s">
        <v>458</v>
      </c>
      <c r="AF59" s="5" t="s">
        <v>458</v>
      </c>
      <c r="AG59" s="5" t="s">
        <v>458</v>
      </c>
      <c r="AH59" s="5" t="s">
        <v>458</v>
      </c>
      <c r="AI59" s="5" t="s">
        <v>458</v>
      </c>
      <c r="AJ59" s="5" t="s">
        <v>458</v>
      </c>
      <c r="AK59" s="5" t="s">
        <v>458</v>
      </c>
      <c r="AL59" s="5" t="s">
        <v>458</v>
      </c>
      <c r="AM59" s="5" t="s">
        <v>458</v>
      </c>
      <c r="AN59" s="5" t="s">
        <v>458</v>
      </c>
      <c r="AO59" s="5" t="s">
        <v>458</v>
      </c>
      <c r="AP59" s="5" t="s">
        <v>458</v>
      </c>
      <c r="AQ59" s="5" t="s">
        <v>458</v>
      </c>
      <c r="AR59" s="5" t="s">
        <v>458</v>
      </c>
      <c r="AS59" s="5" t="s">
        <v>458</v>
      </c>
      <c r="AT59" s="5" t="s">
        <v>458</v>
      </c>
      <c r="AU59" s="5" t="s">
        <v>458</v>
      </c>
      <c r="AV59" s="5" t="s">
        <v>458</v>
      </c>
      <c r="AW59" s="5" t="s">
        <v>458</v>
      </c>
      <c r="AX59" s="5" t="s">
        <v>458</v>
      </c>
      <c r="AY59" s="5" t="s">
        <v>458</v>
      </c>
      <c r="AZ59" s="5" t="s">
        <v>458</v>
      </c>
      <c r="BA59" s="5" t="s">
        <v>458</v>
      </c>
      <c r="BB59" s="5" t="s">
        <v>458</v>
      </c>
      <c r="BC59" s="5" t="s">
        <v>458</v>
      </c>
      <c r="BD59" s="5" t="s">
        <v>458</v>
      </c>
      <c r="BE59" s="5"/>
      <c r="BG59" s="3"/>
      <c r="BH59" s="3"/>
    </row>
    <row r="60" spans="1:100" ht="16" x14ac:dyDescent="0.2">
      <c r="A60" s="25">
        <v>11</v>
      </c>
      <c r="B60" s="31">
        <v>1</v>
      </c>
      <c r="C60" s="31" t="s">
        <v>29</v>
      </c>
      <c r="D60" s="13">
        <v>1.7969599999999999</v>
      </c>
      <c r="E60" s="13">
        <v>4.9438199999999997</v>
      </c>
      <c r="F60" s="13">
        <v>7.0224700000000002</v>
      </c>
      <c r="G60" s="13" t="s">
        <v>458</v>
      </c>
      <c r="H60" s="13" t="s">
        <v>458</v>
      </c>
      <c r="I60" s="13" t="s">
        <v>458</v>
      </c>
      <c r="J60" s="13" t="s">
        <v>458</v>
      </c>
      <c r="K60" s="13" t="s">
        <v>458</v>
      </c>
      <c r="L60" s="13" t="s">
        <v>458</v>
      </c>
      <c r="M60" s="5" t="s">
        <v>458</v>
      </c>
      <c r="N60" s="5" t="s">
        <v>458</v>
      </c>
      <c r="O60" s="5" t="s">
        <v>458</v>
      </c>
      <c r="P60" s="5" t="s">
        <v>458</v>
      </c>
      <c r="Q60" s="5" t="s">
        <v>458</v>
      </c>
      <c r="R60" s="5" t="s">
        <v>458</v>
      </c>
      <c r="S60" s="5" t="s">
        <v>458</v>
      </c>
      <c r="T60" s="5" t="s">
        <v>458</v>
      </c>
      <c r="U60" s="5" t="s">
        <v>458</v>
      </c>
      <c r="V60" s="5" t="s">
        <v>458</v>
      </c>
      <c r="W60" s="5" t="s">
        <v>458</v>
      </c>
      <c r="X60" s="5" t="s">
        <v>458</v>
      </c>
      <c r="Y60" s="5" t="s">
        <v>458</v>
      </c>
      <c r="Z60" s="5" t="s">
        <v>458</v>
      </c>
      <c r="AA60" s="5" t="s">
        <v>458</v>
      </c>
      <c r="AB60" s="5" t="s">
        <v>458</v>
      </c>
      <c r="AC60" s="5" t="s">
        <v>458</v>
      </c>
      <c r="AD60" s="5" t="s">
        <v>458</v>
      </c>
      <c r="AE60" s="5" t="s">
        <v>458</v>
      </c>
      <c r="AF60" s="5" t="s">
        <v>458</v>
      </c>
      <c r="AG60" s="5" t="s">
        <v>458</v>
      </c>
      <c r="AH60" s="5" t="s">
        <v>458</v>
      </c>
      <c r="AI60" s="5" t="s">
        <v>458</v>
      </c>
      <c r="AJ60" s="5" t="s">
        <v>458</v>
      </c>
      <c r="AK60" s="5" t="s">
        <v>458</v>
      </c>
      <c r="AL60" s="5" t="s">
        <v>458</v>
      </c>
      <c r="AM60" s="5" t="s">
        <v>458</v>
      </c>
      <c r="AN60" s="5" t="s">
        <v>458</v>
      </c>
      <c r="AO60" s="5" t="s">
        <v>458</v>
      </c>
      <c r="AP60" s="5" t="s">
        <v>458</v>
      </c>
      <c r="AQ60" s="5" t="s">
        <v>458</v>
      </c>
      <c r="AR60" s="5" t="s">
        <v>458</v>
      </c>
      <c r="AS60" s="5" t="s">
        <v>458</v>
      </c>
      <c r="AT60" s="5" t="s">
        <v>458</v>
      </c>
      <c r="AU60" s="5" t="s">
        <v>458</v>
      </c>
      <c r="AV60" s="5" t="s">
        <v>458</v>
      </c>
      <c r="AW60" s="5" t="s">
        <v>458</v>
      </c>
      <c r="AX60" s="5" t="s">
        <v>458</v>
      </c>
      <c r="AY60" s="5" t="s">
        <v>458</v>
      </c>
      <c r="AZ60" s="5" t="s">
        <v>458</v>
      </c>
      <c r="BA60" s="5" t="s">
        <v>458</v>
      </c>
      <c r="BB60" s="5" t="s">
        <v>458</v>
      </c>
      <c r="BC60" s="5" t="s">
        <v>458</v>
      </c>
      <c r="BD60" s="5" t="s">
        <v>458</v>
      </c>
      <c r="BE60" s="5"/>
      <c r="BG60" s="3"/>
      <c r="BH60" s="3"/>
    </row>
    <row r="61" spans="1:100" ht="16" x14ac:dyDescent="0.2">
      <c r="A61" s="25">
        <v>11</v>
      </c>
      <c r="B61" s="31">
        <v>2</v>
      </c>
      <c r="C61" s="31" t="s">
        <v>248</v>
      </c>
      <c r="D61" s="13">
        <v>8.0336999999999996</v>
      </c>
      <c r="E61" s="13">
        <v>10.028</v>
      </c>
      <c r="F61" s="13">
        <v>11.994300000000001</v>
      </c>
      <c r="G61" s="13" t="s">
        <v>458</v>
      </c>
      <c r="H61" s="13" t="s">
        <v>458</v>
      </c>
      <c r="I61" s="13" t="s">
        <v>458</v>
      </c>
      <c r="J61" s="13" t="s">
        <v>458</v>
      </c>
      <c r="K61" s="13" t="s">
        <v>458</v>
      </c>
      <c r="L61" s="13" t="s">
        <v>458</v>
      </c>
      <c r="M61" s="5" t="s">
        <v>458</v>
      </c>
      <c r="N61" s="5" t="s">
        <v>458</v>
      </c>
      <c r="O61" s="5" t="s">
        <v>458</v>
      </c>
      <c r="P61" s="5" t="s">
        <v>458</v>
      </c>
      <c r="Q61" s="5" t="s">
        <v>458</v>
      </c>
      <c r="R61" s="5" t="s">
        <v>458</v>
      </c>
      <c r="S61" s="5" t="s">
        <v>458</v>
      </c>
      <c r="T61" s="5" t="s">
        <v>458</v>
      </c>
      <c r="U61" s="5" t="s">
        <v>458</v>
      </c>
      <c r="V61" s="5" t="s">
        <v>458</v>
      </c>
      <c r="W61" s="5" t="s">
        <v>458</v>
      </c>
      <c r="X61" s="5" t="s">
        <v>458</v>
      </c>
      <c r="Y61" s="5" t="s">
        <v>458</v>
      </c>
      <c r="Z61" s="5" t="s">
        <v>458</v>
      </c>
      <c r="AA61" s="5" t="s">
        <v>458</v>
      </c>
      <c r="AB61" s="5" t="s">
        <v>458</v>
      </c>
      <c r="AC61" s="5" t="s">
        <v>458</v>
      </c>
      <c r="AD61" s="5" t="s">
        <v>458</v>
      </c>
      <c r="AE61" s="5" t="s">
        <v>458</v>
      </c>
      <c r="AF61" s="5" t="s">
        <v>458</v>
      </c>
      <c r="AG61" s="5" t="s">
        <v>458</v>
      </c>
      <c r="AH61" s="5" t="s">
        <v>458</v>
      </c>
      <c r="AI61" s="5" t="s">
        <v>458</v>
      </c>
      <c r="AJ61" s="5" t="s">
        <v>458</v>
      </c>
      <c r="AK61" s="5" t="s">
        <v>458</v>
      </c>
      <c r="AL61" s="5" t="s">
        <v>458</v>
      </c>
      <c r="AM61" s="5" t="s">
        <v>458</v>
      </c>
      <c r="AN61" s="5" t="s">
        <v>458</v>
      </c>
      <c r="AO61" s="5" t="s">
        <v>458</v>
      </c>
      <c r="AP61" s="5" t="s">
        <v>458</v>
      </c>
      <c r="AQ61" s="5" t="s">
        <v>458</v>
      </c>
      <c r="AR61" s="5" t="s">
        <v>458</v>
      </c>
      <c r="AS61" s="5" t="s">
        <v>458</v>
      </c>
      <c r="AT61" s="5" t="s">
        <v>458</v>
      </c>
      <c r="AU61" s="5" t="s">
        <v>458</v>
      </c>
      <c r="AV61" s="5" t="s">
        <v>458</v>
      </c>
      <c r="AW61" s="5" t="s">
        <v>458</v>
      </c>
      <c r="AX61" s="5" t="s">
        <v>458</v>
      </c>
      <c r="AY61" s="5" t="s">
        <v>458</v>
      </c>
      <c r="AZ61" s="5" t="s">
        <v>458</v>
      </c>
      <c r="BA61" s="5" t="s">
        <v>458</v>
      </c>
      <c r="BB61" s="5" t="s">
        <v>458</v>
      </c>
      <c r="BC61" s="5" t="s">
        <v>458</v>
      </c>
      <c r="BD61" s="5" t="s">
        <v>458</v>
      </c>
      <c r="BE61" s="5"/>
      <c r="BG61" s="3"/>
      <c r="BH61" s="3"/>
    </row>
    <row r="62" spans="1:100" ht="16" x14ac:dyDescent="0.2">
      <c r="A62" s="25">
        <v>12</v>
      </c>
      <c r="B62" s="31">
        <v>1</v>
      </c>
      <c r="C62" s="31" t="s">
        <v>51</v>
      </c>
      <c r="D62" s="5">
        <v>1.57E-3</v>
      </c>
      <c r="E62" s="5">
        <v>5.1569999999999998E-2</v>
      </c>
      <c r="F62" s="5">
        <v>0.10218000000000001</v>
      </c>
      <c r="G62" s="5">
        <v>0.15218000000000001</v>
      </c>
      <c r="H62" s="5">
        <v>0.18354000000000001</v>
      </c>
      <c r="I62" s="5">
        <v>0.20277999999999999</v>
      </c>
      <c r="J62" s="5">
        <v>0.30337999999999998</v>
      </c>
      <c r="K62" s="5">
        <v>0.40399000000000002</v>
      </c>
      <c r="L62" s="5">
        <v>0.50458999999999998</v>
      </c>
      <c r="M62" s="5">
        <v>0.60519000000000001</v>
      </c>
      <c r="N62" s="5">
        <v>0.70579999999999998</v>
      </c>
      <c r="O62" s="5">
        <v>0.90700000000000003</v>
      </c>
      <c r="P62" s="5">
        <v>1.0076099999999999</v>
      </c>
      <c r="Q62" s="5">
        <v>1.1082099999999999</v>
      </c>
      <c r="R62" s="5">
        <v>1.20882</v>
      </c>
      <c r="S62" s="5">
        <v>1.30942</v>
      </c>
      <c r="T62" s="5">
        <v>1.4100200000000001</v>
      </c>
      <c r="U62" s="5">
        <v>1.5106299999999999</v>
      </c>
      <c r="V62" s="5">
        <v>1.6112299999999999</v>
      </c>
      <c r="W62" s="5">
        <v>1.71183</v>
      </c>
      <c r="X62" s="5">
        <v>1.8124400000000001</v>
      </c>
      <c r="Y62" s="5">
        <v>1.9130400000000001</v>
      </c>
      <c r="Z62" s="5">
        <v>2.0136400000000001</v>
      </c>
      <c r="AA62" s="5">
        <v>2.1142500000000002</v>
      </c>
      <c r="AB62" s="5">
        <v>2.2148500000000002</v>
      </c>
      <c r="AC62" s="5">
        <v>2.3154599999999999</v>
      </c>
      <c r="AD62" s="5">
        <v>2.4160599999999999</v>
      </c>
      <c r="AE62" s="5">
        <v>2.5166599999999999</v>
      </c>
      <c r="AF62" s="5">
        <v>2.61727</v>
      </c>
      <c r="AG62" s="5">
        <v>2.71787</v>
      </c>
      <c r="AH62" s="5">
        <v>2.81847</v>
      </c>
      <c r="AI62" s="5">
        <v>2.9190800000000001</v>
      </c>
      <c r="AJ62" s="5" t="s">
        <v>458</v>
      </c>
      <c r="AK62" s="5" t="s">
        <v>458</v>
      </c>
      <c r="AL62" s="5" t="s">
        <v>458</v>
      </c>
      <c r="AM62" s="5" t="s">
        <v>458</v>
      </c>
      <c r="AN62" s="5" t="s">
        <v>458</v>
      </c>
      <c r="AO62" s="5" t="s">
        <v>458</v>
      </c>
      <c r="AP62" s="5" t="s">
        <v>458</v>
      </c>
      <c r="AQ62" s="5" t="s">
        <v>458</v>
      </c>
      <c r="AR62" s="5" t="s">
        <v>458</v>
      </c>
      <c r="AS62" s="5" t="s">
        <v>458</v>
      </c>
      <c r="AT62" s="5" t="s">
        <v>458</v>
      </c>
      <c r="AU62" s="5" t="s">
        <v>458</v>
      </c>
      <c r="AV62" s="5" t="s">
        <v>458</v>
      </c>
      <c r="AW62" s="5" t="s">
        <v>458</v>
      </c>
      <c r="AX62" s="5" t="s">
        <v>458</v>
      </c>
      <c r="AY62" s="5" t="s">
        <v>458</v>
      </c>
      <c r="AZ62" s="5" t="s">
        <v>458</v>
      </c>
      <c r="BA62" s="5" t="s">
        <v>458</v>
      </c>
      <c r="BB62" s="5" t="s">
        <v>458</v>
      </c>
      <c r="BC62" s="5" t="s">
        <v>458</v>
      </c>
      <c r="BD62" s="5" t="s">
        <v>458</v>
      </c>
      <c r="BE62" s="5"/>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row>
    <row r="63" spans="1:100" ht="16" x14ac:dyDescent="0.2">
      <c r="A63" s="12">
        <v>12</v>
      </c>
      <c r="B63" s="12">
        <v>2</v>
      </c>
      <c r="C63" s="12" t="s">
        <v>52</v>
      </c>
      <c r="D63" s="5">
        <v>0.50458999999999998</v>
      </c>
      <c r="E63" s="5">
        <v>0.90700000000000003</v>
      </c>
      <c r="F63" s="5">
        <v>1.1082099999999999</v>
      </c>
      <c r="G63" s="5">
        <v>1.4100200000000001</v>
      </c>
      <c r="H63" s="5">
        <v>1.6112299999999999</v>
      </c>
      <c r="I63" s="5">
        <v>1.9130400000000001</v>
      </c>
      <c r="J63" s="5">
        <v>2.1142500000000002</v>
      </c>
      <c r="K63" s="5">
        <v>2.3154599999999999</v>
      </c>
      <c r="L63" s="5">
        <v>2.61727</v>
      </c>
      <c r="M63" s="5">
        <v>2.9190800000000001</v>
      </c>
      <c r="N63" s="5">
        <v>3.10921</v>
      </c>
      <c r="O63" s="5">
        <v>3.2208899999999998</v>
      </c>
      <c r="P63" s="5">
        <v>3.6233</v>
      </c>
      <c r="Q63" s="5">
        <v>3.9251100000000001</v>
      </c>
      <c r="R63" s="5">
        <v>4.4281300000000003</v>
      </c>
      <c r="S63" s="5">
        <v>4.5287300000000004</v>
      </c>
      <c r="T63" s="5">
        <v>4.72994</v>
      </c>
      <c r="U63" s="5">
        <v>5.0317499999999997</v>
      </c>
      <c r="V63" s="5">
        <v>5.3335600000000003</v>
      </c>
      <c r="W63" s="5">
        <v>5.53477</v>
      </c>
      <c r="X63" s="5">
        <v>5.7359799999999996</v>
      </c>
      <c r="Y63" s="5">
        <v>6.0377900000000002</v>
      </c>
      <c r="Z63" s="5">
        <v>6.4401999999999999</v>
      </c>
      <c r="AA63" s="5">
        <v>6.8426200000000001</v>
      </c>
      <c r="AB63" s="5">
        <v>6.9432200000000002</v>
      </c>
      <c r="AC63" s="5">
        <v>7.1444299999999998</v>
      </c>
      <c r="AD63" s="5">
        <v>7.6474500000000001</v>
      </c>
      <c r="AE63" s="5">
        <v>7.9492599999999998</v>
      </c>
      <c r="AF63" s="5">
        <v>8.2510700000000003</v>
      </c>
      <c r="AG63" s="5">
        <v>8.7540899999999997</v>
      </c>
      <c r="AH63" s="5">
        <v>9.2571100000000008</v>
      </c>
      <c r="AI63" s="5">
        <v>9.4583100000000009</v>
      </c>
      <c r="AJ63" s="5">
        <v>9.7601200000000006</v>
      </c>
      <c r="AK63" s="5">
        <v>10.16254</v>
      </c>
      <c r="AL63" s="5">
        <v>10.665559999999999</v>
      </c>
      <c r="AM63" s="5">
        <v>10.866759999999999</v>
      </c>
      <c r="AN63" s="5">
        <v>11.168570000000001</v>
      </c>
      <c r="AO63" s="5">
        <v>11.57099</v>
      </c>
      <c r="AP63" s="5">
        <v>11.9734</v>
      </c>
      <c r="AQ63" s="5">
        <v>12.577019999999999</v>
      </c>
      <c r="AR63" s="5">
        <v>12.97944</v>
      </c>
      <c r="AS63" s="5">
        <v>13.48246</v>
      </c>
      <c r="AT63" s="5">
        <v>13.985480000000001</v>
      </c>
      <c r="AU63" s="5">
        <v>14.488490000000001</v>
      </c>
      <c r="AV63" s="5">
        <v>15.19272</v>
      </c>
      <c r="AW63" s="5">
        <v>15.595129999999999</v>
      </c>
      <c r="AX63" s="5">
        <v>16.09815</v>
      </c>
      <c r="AY63" s="5">
        <v>16.60117</v>
      </c>
      <c r="AZ63" s="5">
        <v>17.104189999999999</v>
      </c>
      <c r="BA63" s="5">
        <v>17.707809999999998</v>
      </c>
      <c r="BB63" s="5">
        <v>18.210830000000001</v>
      </c>
      <c r="BC63" s="5">
        <v>18.814450000000001</v>
      </c>
      <c r="BD63" s="5">
        <v>19.21686</v>
      </c>
      <c r="BE63" s="5"/>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row>
    <row r="64" spans="1:100" ht="16" x14ac:dyDescent="0.2">
      <c r="A64" s="25">
        <v>12</v>
      </c>
      <c r="B64" s="31">
        <v>3</v>
      </c>
      <c r="C64" s="31" t="s">
        <v>53</v>
      </c>
      <c r="D64" s="5">
        <v>1.6112299999999999</v>
      </c>
      <c r="E64" s="5">
        <v>1.8124400000000001</v>
      </c>
      <c r="F64" s="5">
        <v>2.2148500000000002</v>
      </c>
      <c r="G64" s="5">
        <v>2.5166599999999999</v>
      </c>
      <c r="H64" s="5">
        <v>2.9190800000000001</v>
      </c>
      <c r="I64" s="5">
        <v>3.2208899999999998</v>
      </c>
      <c r="J64" s="5">
        <v>3.6233</v>
      </c>
      <c r="K64" s="5">
        <v>4.1263199999999998</v>
      </c>
      <c r="L64" s="5">
        <v>4.4281300000000003</v>
      </c>
      <c r="M64" s="5">
        <v>4.62934</v>
      </c>
      <c r="N64" s="5">
        <v>4.9311499999999997</v>
      </c>
      <c r="O64" s="5">
        <v>5.3335600000000003</v>
      </c>
      <c r="P64" s="5">
        <v>5.7359799999999996</v>
      </c>
      <c r="Q64" s="5">
        <v>5.9371900000000002</v>
      </c>
      <c r="R64" s="5">
        <v>6.1383900000000002</v>
      </c>
      <c r="S64" s="5">
        <v>6.4401999999999999</v>
      </c>
      <c r="T64" s="5">
        <v>6.6414099999999996</v>
      </c>
      <c r="U64" s="5">
        <v>6.7420099999999996</v>
      </c>
      <c r="V64" s="5">
        <v>7.0438299999999998</v>
      </c>
      <c r="W64" s="5">
        <v>7.2450299999999999</v>
      </c>
      <c r="X64" s="5">
        <v>7.4462400000000004</v>
      </c>
      <c r="Y64" s="5">
        <v>7.7480500000000001</v>
      </c>
      <c r="Z64" s="5">
        <v>8.3516700000000004</v>
      </c>
      <c r="AA64" s="5">
        <v>8.8546899999999997</v>
      </c>
      <c r="AB64" s="5">
        <v>9.2571100000000008</v>
      </c>
      <c r="AC64" s="5">
        <v>9.8607300000000002</v>
      </c>
      <c r="AD64" s="5">
        <v>10.46435</v>
      </c>
      <c r="AE64" s="5">
        <v>11.067970000000001</v>
      </c>
      <c r="AF64" s="5">
        <v>11.7722</v>
      </c>
      <c r="AG64" s="5">
        <v>12.174609999999999</v>
      </c>
      <c r="AH64" s="5">
        <v>12.87884</v>
      </c>
      <c r="AI64" s="5">
        <v>13.58306</v>
      </c>
      <c r="AJ64" s="5">
        <v>14.186680000000001</v>
      </c>
      <c r="AK64" s="5">
        <v>14.89091</v>
      </c>
      <c r="AL64" s="5">
        <v>15.494529999999999</v>
      </c>
      <c r="AM64" s="5">
        <v>15.896940000000001</v>
      </c>
      <c r="AN64" s="5">
        <v>16.50057</v>
      </c>
      <c r="AO64" s="5">
        <v>17.104189999999999</v>
      </c>
      <c r="AP64" s="5">
        <v>17.808409999999999</v>
      </c>
      <c r="AQ64" s="5">
        <v>18.412030000000001</v>
      </c>
      <c r="AR64" s="5">
        <v>19.01566</v>
      </c>
      <c r="AS64" s="5">
        <v>19.41807</v>
      </c>
      <c r="AT64" s="5">
        <v>19.92109</v>
      </c>
      <c r="AU64" s="5">
        <v>20.424109999999999</v>
      </c>
      <c r="AV64" s="5">
        <v>21.027729999999998</v>
      </c>
      <c r="AW64" s="5">
        <v>21.530750000000001</v>
      </c>
      <c r="AX64" s="5">
        <v>22.134370000000001</v>
      </c>
      <c r="AY64" s="5">
        <v>22.73799</v>
      </c>
      <c r="AZ64" s="5">
        <v>23.241009999999999</v>
      </c>
      <c r="BA64" s="5">
        <v>23.643419999999999</v>
      </c>
      <c r="BB64" s="5" t="s">
        <v>458</v>
      </c>
      <c r="BC64" s="5" t="s">
        <v>458</v>
      </c>
      <c r="BD64" s="5" t="s">
        <v>458</v>
      </c>
      <c r="BE64" s="5"/>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row>
    <row r="65" spans="1:100" ht="16" x14ac:dyDescent="0.2">
      <c r="A65" s="25">
        <v>12</v>
      </c>
      <c r="B65" s="31">
        <v>4</v>
      </c>
      <c r="C65" s="31" t="s">
        <v>54</v>
      </c>
      <c r="D65" s="5">
        <v>1.0076099999999999</v>
      </c>
      <c r="E65" s="5">
        <v>1.4100200000000001</v>
      </c>
      <c r="F65" s="5">
        <v>1.8124400000000001</v>
      </c>
      <c r="G65" s="5">
        <v>2.2148500000000002</v>
      </c>
      <c r="H65" s="5">
        <v>2.71787</v>
      </c>
      <c r="I65" s="5">
        <v>3.1202800000000002</v>
      </c>
      <c r="J65" s="5">
        <v>3.4220999999999999</v>
      </c>
      <c r="K65" s="5">
        <v>3.8245100000000001</v>
      </c>
      <c r="L65" s="5">
        <v>4.2269199999999998</v>
      </c>
      <c r="M65" s="5">
        <v>4.62934</v>
      </c>
      <c r="N65" s="5">
        <v>5.0317499999999997</v>
      </c>
      <c r="O65" s="5">
        <v>5.53477</v>
      </c>
      <c r="P65" s="5">
        <v>5.9371900000000002</v>
      </c>
      <c r="Q65" s="5">
        <v>6.3395999999999999</v>
      </c>
      <c r="R65" s="5">
        <v>6.8426200000000001</v>
      </c>
      <c r="S65" s="5">
        <v>7.1444299999999998</v>
      </c>
      <c r="T65" s="5">
        <v>7.5468400000000004</v>
      </c>
      <c r="U65" s="5">
        <v>8.4506999999999994</v>
      </c>
      <c r="V65" s="5">
        <v>9.2571100000000008</v>
      </c>
      <c r="W65" s="5">
        <v>9.6595200000000006</v>
      </c>
      <c r="X65" s="5">
        <v>10.06193</v>
      </c>
      <c r="Y65" s="5">
        <v>10.665559999999999</v>
      </c>
      <c r="Z65" s="5">
        <v>11.26918</v>
      </c>
      <c r="AA65" s="5">
        <v>12.174609999999999</v>
      </c>
      <c r="AB65" s="5">
        <v>12.97944</v>
      </c>
      <c r="AC65" s="5">
        <v>13.784269999999999</v>
      </c>
      <c r="AD65" s="5">
        <v>14.5891</v>
      </c>
      <c r="AE65" s="5">
        <v>15.393929999999999</v>
      </c>
      <c r="AF65" s="5">
        <v>16.19876</v>
      </c>
      <c r="AG65" s="5">
        <v>17.003579999999999</v>
      </c>
      <c r="AH65" s="5">
        <v>17.808409999999999</v>
      </c>
      <c r="AI65" s="5">
        <v>18.512640000000001</v>
      </c>
      <c r="AJ65" s="5">
        <v>19.31747</v>
      </c>
      <c r="AK65" s="5">
        <v>20.222899999999999</v>
      </c>
      <c r="AL65" s="5">
        <v>21.027729999999998</v>
      </c>
      <c r="AM65" s="5">
        <v>21.731950000000001</v>
      </c>
      <c r="AN65" s="5">
        <v>22.53678</v>
      </c>
      <c r="AO65" s="5">
        <v>23.541250000000002</v>
      </c>
      <c r="AP65" s="5">
        <v>24.245470000000001</v>
      </c>
      <c r="AQ65" s="5">
        <v>25.754529999999999</v>
      </c>
      <c r="AR65" s="5">
        <v>27.565390000000001</v>
      </c>
      <c r="AS65" s="5">
        <v>29.678070000000002</v>
      </c>
      <c r="AT65" s="5" t="s">
        <v>458</v>
      </c>
      <c r="AU65" s="5" t="s">
        <v>458</v>
      </c>
      <c r="AV65" s="5" t="s">
        <v>458</v>
      </c>
      <c r="AW65" s="5" t="s">
        <v>458</v>
      </c>
      <c r="AX65" s="5" t="s">
        <v>458</v>
      </c>
      <c r="AY65" s="5" t="s">
        <v>458</v>
      </c>
      <c r="AZ65" s="5" t="s">
        <v>458</v>
      </c>
      <c r="BA65" s="5" t="s">
        <v>458</v>
      </c>
      <c r="BB65" s="5" t="s">
        <v>458</v>
      </c>
      <c r="BC65" s="5" t="s">
        <v>458</v>
      </c>
      <c r="BD65" s="5" t="s">
        <v>458</v>
      </c>
      <c r="BE65" s="5"/>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row>
    <row r="66" spans="1:100" ht="16" x14ac:dyDescent="0.2">
      <c r="A66" s="25">
        <v>12</v>
      </c>
      <c r="B66" s="31">
        <v>5</v>
      </c>
      <c r="C66" s="31" t="s">
        <v>55</v>
      </c>
      <c r="D66">
        <v>1.30522</v>
      </c>
      <c r="E66">
        <v>2.30924</v>
      </c>
      <c r="F66">
        <v>3.7148599999999998</v>
      </c>
      <c r="G66">
        <v>5.7228899999999996</v>
      </c>
      <c r="H66">
        <v>7.2289199999999996</v>
      </c>
      <c r="I66">
        <v>8.5341400000000007</v>
      </c>
      <c r="J66">
        <v>10.140560000000001</v>
      </c>
      <c r="K66">
        <v>11.64659</v>
      </c>
      <c r="L66">
        <v>12.650600000000001</v>
      </c>
      <c r="M66">
        <v>13.554220000000001</v>
      </c>
      <c r="N66">
        <v>15.36145</v>
      </c>
      <c r="O66">
        <v>16.967870000000001</v>
      </c>
      <c r="P66">
        <v>18.574300000000001</v>
      </c>
      <c r="Q66">
        <v>20.381530000000001</v>
      </c>
      <c r="R66">
        <v>22.088349999999998</v>
      </c>
      <c r="S66">
        <v>23.895579999999999</v>
      </c>
      <c r="T66">
        <v>25.602409999999999</v>
      </c>
      <c r="U66">
        <v>27.309239999999999</v>
      </c>
      <c r="V66">
        <v>28.714860000000002</v>
      </c>
      <c r="W66">
        <v>30.321290000000001</v>
      </c>
      <c r="X66">
        <v>32.028109999999998</v>
      </c>
      <c r="Y66">
        <v>33.935740000000003</v>
      </c>
      <c r="Z66">
        <v>35.140560000000001</v>
      </c>
      <c r="AA66">
        <v>36.746989999999997</v>
      </c>
      <c r="AB66">
        <v>37.851410000000001</v>
      </c>
      <c r="AC66">
        <v>38.855420000000002</v>
      </c>
      <c r="AD66" s="13" t="s">
        <v>458</v>
      </c>
      <c r="AE66" s="13" t="s">
        <v>458</v>
      </c>
      <c r="AF66" s="13" t="s">
        <v>458</v>
      </c>
      <c r="AG66" s="13" t="s">
        <v>458</v>
      </c>
      <c r="AH66" s="13" t="s">
        <v>458</v>
      </c>
      <c r="AI66" s="13" t="s">
        <v>458</v>
      </c>
      <c r="AJ66" s="13" t="s">
        <v>458</v>
      </c>
      <c r="AK66" s="13" t="s">
        <v>458</v>
      </c>
      <c r="AL66" s="13" t="s">
        <v>458</v>
      </c>
      <c r="AM66" s="13" t="s">
        <v>458</v>
      </c>
      <c r="AN66" s="13" t="s">
        <v>458</v>
      </c>
      <c r="AO66" s="13" t="s">
        <v>458</v>
      </c>
      <c r="AP66" s="13" t="s">
        <v>458</v>
      </c>
      <c r="AQ66" s="13" t="s">
        <v>458</v>
      </c>
      <c r="AR66" s="13" t="s">
        <v>458</v>
      </c>
      <c r="AS66" s="13" t="s">
        <v>458</v>
      </c>
      <c r="AT66" s="13" t="s">
        <v>458</v>
      </c>
      <c r="AU66" s="13" t="s">
        <v>458</v>
      </c>
      <c r="AV66" s="13" t="s">
        <v>458</v>
      </c>
      <c r="AW66" s="13" t="s">
        <v>458</v>
      </c>
      <c r="AX66" s="13" t="s">
        <v>458</v>
      </c>
      <c r="AY66" s="13" t="s">
        <v>458</v>
      </c>
      <c r="AZ66" s="13" t="s">
        <v>458</v>
      </c>
      <c r="BA66" s="13" t="s">
        <v>458</v>
      </c>
      <c r="BB66" s="13" t="s">
        <v>458</v>
      </c>
      <c r="BC66" s="13" t="s">
        <v>458</v>
      </c>
      <c r="BD66" s="13" t="s">
        <v>458</v>
      </c>
      <c r="BE66" s="1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row>
    <row r="67" spans="1:100" s="18" customFormat="1" ht="16" x14ac:dyDescent="0.2">
      <c r="A67" s="26">
        <v>12</v>
      </c>
      <c r="B67" s="32">
        <v>6</v>
      </c>
      <c r="C67" s="32" t="s">
        <v>56</v>
      </c>
      <c r="D67" s="19">
        <v>0.40399000000000002</v>
      </c>
      <c r="E67" s="19">
        <v>1.0076099999999999</v>
      </c>
      <c r="F67" s="19">
        <v>1.71183</v>
      </c>
      <c r="G67" s="19">
        <v>2.3154599999999999</v>
      </c>
      <c r="H67" s="19">
        <v>3.0196800000000001</v>
      </c>
      <c r="I67" s="19">
        <v>3.7239100000000001</v>
      </c>
      <c r="J67" s="19">
        <v>4.4281300000000003</v>
      </c>
      <c r="K67" s="19">
        <v>5.5331999999999999</v>
      </c>
      <c r="L67" s="19">
        <v>6.4401999999999999</v>
      </c>
      <c r="M67" s="19">
        <v>7.2450299999999999</v>
      </c>
      <c r="N67" s="19">
        <v>7.9492599999999998</v>
      </c>
      <c r="O67" s="19">
        <v>8.55288</v>
      </c>
      <c r="P67" s="19">
        <v>9.1564999999999994</v>
      </c>
      <c r="Q67" s="19">
        <v>9.7601200000000006</v>
      </c>
      <c r="R67" s="19">
        <v>10.46435</v>
      </c>
      <c r="S67" s="19">
        <v>11.067970000000001</v>
      </c>
      <c r="T67" s="19">
        <v>11.67159</v>
      </c>
      <c r="U67" s="19">
        <v>12.27521</v>
      </c>
      <c r="V67" s="19">
        <v>12.87884</v>
      </c>
      <c r="W67" s="19">
        <v>14.38632</v>
      </c>
      <c r="X67" s="19">
        <v>15.39235</v>
      </c>
      <c r="Y67" s="19">
        <v>16.29936</v>
      </c>
      <c r="Z67" s="19">
        <v>17.003579999999999</v>
      </c>
      <c r="AA67" s="19">
        <v>17.808409999999999</v>
      </c>
      <c r="AB67" s="19">
        <v>19.11626</v>
      </c>
      <c r="AC67" s="19">
        <v>20.323499999999999</v>
      </c>
      <c r="AD67" s="19">
        <v>21.631350000000001</v>
      </c>
      <c r="AE67" s="19">
        <v>22.83859</v>
      </c>
      <c r="AF67" s="19">
        <v>24.146439999999998</v>
      </c>
      <c r="AG67" s="19">
        <v>25.353680000000001</v>
      </c>
      <c r="AH67" s="19">
        <v>26.661529999999999</v>
      </c>
      <c r="AI67" s="19">
        <v>27.868780000000001</v>
      </c>
      <c r="AJ67" s="19">
        <v>29.17662</v>
      </c>
      <c r="AK67" s="19">
        <v>30.383870000000002</v>
      </c>
      <c r="AL67" s="19">
        <v>31.69171</v>
      </c>
      <c r="AM67" s="19">
        <v>32.898960000000002</v>
      </c>
      <c r="AN67" s="19">
        <v>34.206800000000001</v>
      </c>
      <c r="AO67" s="19">
        <v>35.21284</v>
      </c>
      <c r="AP67" s="19">
        <v>37.023699999999998</v>
      </c>
      <c r="AQ67" s="19">
        <v>37.727930000000001</v>
      </c>
      <c r="AR67" s="19">
        <v>38.532760000000003</v>
      </c>
      <c r="AS67" s="19">
        <v>39.438189999999999</v>
      </c>
      <c r="AT67" s="19">
        <v>40.243020000000001</v>
      </c>
      <c r="AU67" s="19">
        <v>41.148449999999997</v>
      </c>
      <c r="AV67" s="19">
        <v>42.053890000000003</v>
      </c>
      <c r="AW67" s="19">
        <v>42.959319999999998</v>
      </c>
      <c r="AX67" s="19">
        <v>43.764150000000001</v>
      </c>
      <c r="AY67" s="19">
        <v>44.669580000000003</v>
      </c>
      <c r="AZ67" s="19">
        <v>45.575009999999999</v>
      </c>
      <c r="BA67" s="19">
        <v>46.379840000000002</v>
      </c>
      <c r="BB67" s="19" t="s">
        <v>458</v>
      </c>
      <c r="BC67" s="19" t="s">
        <v>458</v>
      </c>
      <c r="BD67" s="19" t="s">
        <v>458</v>
      </c>
      <c r="BE67" s="19"/>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row>
    <row r="68" spans="1:100" ht="16" x14ac:dyDescent="0.2">
      <c r="A68" s="25">
        <v>13</v>
      </c>
      <c r="B68" s="31">
        <v>1</v>
      </c>
      <c r="C68" s="31" t="s">
        <v>58</v>
      </c>
      <c r="D68" s="5">
        <v>1.1180300000000001</v>
      </c>
      <c r="E68" s="5">
        <v>1.27739</v>
      </c>
      <c r="F68" s="5">
        <v>1.4586699999999999</v>
      </c>
      <c r="G68" s="5">
        <v>1.59612</v>
      </c>
      <c r="H68" s="5">
        <v>2.0741999999999998</v>
      </c>
      <c r="I68" s="5">
        <v>2.3929299999999998</v>
      </c>
      <c r="J68" s="5">
        <v>2.8710200000000001</v>
      </c>
      <c r="K68" s="5">
        <v>3.18974</v>
      </c>
      <c r="L68" s="5">
        <v>3.6678299999999999</v>
      </c>
      <c r="M68" s="5">
        <v>3.9865499999999998</v>
      </c>
      <c r="N68" s="5">
        <v>4.3052799999999998</v>
      </c>
      <c r="O68" s="5">
        <v>4.5249899999999998</v>
      </c>
      <c r="P68" s="5">
        <v>4.7833699999999997</v>
      </c>
      <c r="Q68" s="5">
        <v>4.8131700000000004</v>
      </c>
      <c r="R68" s="5">
        <v>4.85236</v>
      </c>
      <c r="S68" s="5">
        <v>4.8791399999999996</v>
      </c>
      <c r="T68" s="5">
        <v>5.1020899999999996</v>
      </c>
      <c r="U68" s="5">
        <v>5.26145</v>
      </c>
      <c r="V68" s="5">
        <v>5.5801800000000004</v>
      </c>
      <c r="W68" s="5">
        <v>5.7395399999999999</v>
      </c>
      <c r="X68" s="5">
        <v>6.0582700000000003</v>
      </c>
      <c r="Y68" s="5">
        <v>6.3769900000000002</v>
      </c>
      <c r="Z68" s="5">
        <v>7.1738</v>
      </c>
      <c r="AA68" s="5">
        <v>8.1299799999999998</v>
      </c>
      <c r="AB68" s="5">
        <v>9.8829700000000003</v>
      </c>
      <c r="AC68" s="5">
        <v>11.635960000000001</v>
      </c>
      <c r="AD68" s="5">
        <v>13.38894</v>
      </c>
      <c r="AE68" s="5">
        <v>16.257470000000001</v>
      </c>
      <c r="AF68" s="5" t="s">
        <v>458</v>
      </c>
      <c r="AG68" s="5" t="s">
        <v>458</v>
      </c>
      <c r="AH68" s="5" t="s">
        <v>458</v>
      </c>
      <c r="AI68" s="5" t="s">
        <v>458</v>
      </c>
      <c r="AJ68" s="5" t="s">
        <v>458</v>
      </c>
      <c r="AK68" s="5" t="s">
        <v>458</v>
      </c>
      <c r="AL68" s="5" t="s">
        <v>458</v>
      </c>
      <c r="AM68" s="5" t="s">
        <v>458</v>
      </c>
      <c r="AN68" s="5" t="s">
        <v>458</v>
      </c>
      <c r="AO68" s="5" t="s">
        <v>458</v>
      </c>
      <c r="AP68" s="5" t="s">
        <v>458</v>
      </c>
      <c r="AQ68" s="5" t="s">
        <v>458</v>
      </c>
      <c r="AR68" s="5" t="s">
        <v>458</v>
      </c>
      <c r="AS68" s="5" t="s">
        <v>458</v>
      </c>
      <c r="AT68" s="5" t="s">
        <v>458</v>
      </c>
      <c r="AU68" s="5" t="s">
        <v>458</v>
      </c>
      <c r="AV68" s="5" t="s">
        <v>458</v>
      </c>
      <c r="AW68" s="5" t="s">
        <v>458</v>
      </c>
      <c r="AX68" s="5" t="s">
        <v>458</v>
      </c>
      <c r="AY68" s="5" t="s">
        <v>458</v>
      </c>
      <c r="AZ68" s="5" t="s">
        <v>458</v>
      </c>
      <c r="BA68" s="5" t="s">
        <v>458</v>
      </c>
      <c r="BB68" s="5" t="s">
        <v>458</v>
      </c>
      <c r="BC68" s="5" t="s">
        <v>458</v>
      </c>
      <c r="BD68" s="5" t="s">
        <v>458</v>
      </c>
      <c r="BE68" s="5"/>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row>
    <row r="69" spans="1:100" ht="16" x14ac:dyDescent="0.2">
      <c r="A69" s="25">
        <v>13</v>
      </c>
      <c r="B69" s="31">
        <v>2</v>
      </c>
      <c r="C69" s="31" t="s">
        <v>59</v>
      </c>
      <c r="D69" s="5">
        <v>2.5522900000000002</v>
      </c>
      <c r="E69" s="5">
        <v>2.8710200000000001</v>
      </c>
      <c r="F69" s="5">
        <v>3.3491</v>
      </c>
      <c r="G69" s="5">
        <v>5.1020899999999996</v>
      </c>
      <c r="H69" s="5">
        <v>6.2176299999999998</v>
      </c>
      <c r="I69" s="5">
        <v>7.1738</v>
      </c>
      <c r="J69" s="5">
        <v>8.2893399999999993</v>
      </c>
      <c r="K69" s="5">
        <v>9.2455200000000008</v>
      </c>
      <c r="L69" s="5">
        <v>10.36106</v>
      </c>
      <c r="M69" s="5">
        <v>11.31723</v>
      </c>
      <c r="N69" s="5">
        <v>12.27341</v>
      </c>
      <c r="O69" s="5">
        <v>12.38212</v>
      </c>
      <c r="P69" s="5">
        <v>12.392150000000001</v>
      </c>
      <c r="Q69" s="5">
        <v>12.43277</v>
      </c>
      <c r="R69" s="5">
        <v>12.92451</v>
      </c>
      <c r="S69" s="5">
        <v>13.020379999999999</v>
      </c>
      <c r="T69" s="5">
        <v>13.22958</v>
      </c>
      <c r="U69" s="5">
        <v>14.18576</v>
      </c>
      <c r="V69" s="5">
        <v>15.77938</v>
      </c>
      <c r="W69" s="5">
        <v>17.373010000000001</v>
      </c>
      <c r="X69" s="5">
        <v>19.126000000000001</v>
      </c>
      <c r="Y69" s="5">
        <v>20.719619999999999</v>
      </c>
      <c r="Z69" s="5">
        <v>21.835159999999998</v>
      </c>
      <c r="AA69" s="5">
        <v>23.588149999999999</v>
      </c>
      <c r="AB69" s="5">
        <v>26.775400000000001</v>
      </c>
      <c r="AC69" s="5">
        <v>29.643920000000001</v>
      </c>
      <c r="AD69" s="5">
        <v>33.787350000000004</v>
      </c>
      <c r="AE69" s="5">
        <v>37.293329999999997</v>
      </c>
      <c r="AF69" s="5">
        <v>40.799300000000002</v>
      </c>
      <c r="AG69" s="5">
        <v>44.305280000000003</v>
      </c>
      <c r="AH69" s="5">
        <v>46.536349999999999</v>
      </c>
      <c r="AI69" s="5" t="s">
        <v>458</v>
      </c>
      <c r="AJ69" s="5" t="s">
        <v>458</v>
      </c>
      <c r="AK69" s="5" t="s">
        <v>458</v>
      </c>
      <c r="AL69" s="5" t="s">
        <v>458</v>
      </c>
      <c r="AM69" s="5" t="s">
        <v>458</v>
      </c>
      <c r="AN69" s="5" t="s">
        <v>458</v>
      </c>
      <c r="AO69" s="5" t="s">
        <v>458</v>
      </c>
      <c r="AP69" s="5" t="s">
        <v>458</v>
      </c>
      <c r="AQ69" s="5" t="s">
        <v>458</v>
      </c>
      <c r="AR69" s="5" t="s">
        <v>458</v>
      </c>
      <c r="AS69" s="5" t="s">
        <v>458</v>
      </c>
      <c r="AT69" s="5" t="s">
        <v>458</v>
      </c>
      <c r="AU69" s="5" t="s">
        <v>458</v>
      </c>
      <c r="AV69" s="5" t="s">
        <v>458</v>
      </c>
      <c r="AW69" s="5" t="s">
        <v>458</v>
      </c>
      <c r="AX69" s="5" t="s">
        <v>458</v>
      </c>
      <c r="AY69" s="5" t="s">
        <v>458</v>
      </c>
      <c r="AZ69" s="5" t="s">
        <v>458</v>
      </c>
      <c r="BA69" s="5" t="s">
        <v>458</v>
      </c>
      <c r="BB69" s="5" t="s">
        <v>458</v>
      </c>
      <c r="BC69" s="5" t="s">
        <v>458</v>
      </c>
      <c r="BD69" s="5" t="s">
        <v>458</v>
      </c>
      <c r="BE69" s="5"/>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row>
    <row r="70" spans="1:100" x14ac:dyDescent="0.2">
      <c r="A70" s="25">
        <v>13</v>
      </c>
      <c r="B70" s="31">
        <v>3</v>
      </c>
      <c r="C70" s="29" t="s">
        <v>57</v>
      </c>
      <c r="D70" s="5">
        <v>3.0278900000000002</v>
      </c>
      <c r="E70" s="5">
        <v>3.6678299999999999</v>
      </c>
      <c r="F70" s="5">
        <v>4.4646400000000002</v>
      </c>
      <c r="G70" s="5">
        <v>5.26145</v>
      </c>
      <c r="H70" s="5">
        <v>6.3769900000000002</v>
      </c>
      <c r="I70" s="5">
        <v>7.33317</v>
      </c>
      <c r="J70" s="5">
        <v>8.2893399999999993</v>
      </c>
      <c r="K70" s="5">
        <v>9.2455200000000008</v>
      </c>
      <c r="L70" s="5">
        <v>10.679779999999999</v>
      </c>
      <c r="M70" s="5">
        <v>11.157870000000001</v>
      </c>
      <c r="N70" s="5">
        <v>11.31723</v>
      </c>
      <c r="O70" s="5">
        <v>11.47659</v>
      </c>
      <c r="P70" s="5">
        <v>11.635960000000001</v>
      </c>
      <c r="Q70" s="5">
        <v>11.79532</v>
      </c>
      <c r="R70" s="5">
        <v>14.982570000000001</v>
      </c>
      <c r="S70" s="5">
        <v>18.010459999999998</v>
      </c>
      <c r="T70" s="5">
        <v>21.197710000000001</v>
      </c>
      <c r="U70" s="5">
        <v>24.2256</v>
      </c>
      <c r="V70" s="5">
        <v>28.687750000000001</v>
      </c>
      <c r="W70" s="5">
        <v>29.325199999999999</v>
      </c>
      <c r="X70" s="5">
        <v>29.643920000000001</v>
      </c>
      <c r="Y70" s="5">
        <v>30.281369999999999</v>
      </c>
      <c r="Z70" s="5">
        <v>30.91882</v>
      </c>
      <c r="AA70" s="5">
        <v>31.556270000000001</v>
      </c>
      <c r="AB70" s="5">
        <v>32.669319999999999</v>
      </c>
      <c r="AC70" s="5" t="s">
        <v>458</v>
      </c>
      <c r="AD70" s="5" t="s">
        <v>458</v>
      </c>
      <c r="AE70" s="5" t="s">
        <v>458</v>
      </c>
      <c r="AF70" s="5" t="s">
        <v>458</v>
      </c>
      <c r="AG70" s="5" t="s">
        <v>458</v>
      </c>
      <c r="AH70" s="5" t="s">
        <v>458</v>
      </c>
      <c r="AI70" s="5" t="s">
        <v>458</v>
      </c>
      <c r="AJ70" s="5" t="s">
        <v>458</v>
      </c>
      <c r="AK70" s="5" t="s">
        <v>458</v>
      </c>
      <c r="AL70" s="5" t="s">
        <v>458</v>
      </c>
      <c r="AM70" s="5" t="s">
        <v>458</v>
      </c>
      <c r="AN70" s="5" t="s">
        <v>458</v>
      </c>
      <c r="AO70" s="5" t="s">
        <v>458</v>
      </c>
      <c r="AP70" s="5" t="s">
        <v>458</v>
      </c>
      <c r="AQ70" s="5" t="s">
        <v>458</v>
      </c>
      <c r="AR70" s="5" t="s">
        <v>458</v>
      </c>
      <c r="AS70" s="5" t="s">
        <v>458</v>
      </c>
      <c r="AT70" s="5" t="s">
        <v>458</v>
      </c>
      <c r="AU70" s="5" t="s">
        <v>458</v>
      </c>
      <c r="AV70" s="5" t="s">
        <v>458</v>
      </c>
      <c r="AW70" s="5" t="s">
        <v>458</v>
      </c>
      <c r="AX70" s="5" t="s">
        <v>458</v>
      </c>
      <c r="AY70" s="5" t="s">
        <v>458</v>
      </c>
      <c r="AZ70" s="5" t="s">
        <v>458</v>
      </c>
      <c r="BA70" s="5" t="s">
        <v>458</v>
      </c>
      <c r="BB70" s="5" t="s">
        <v>458</v>
      </c>
      <c r="BC70" s="5" t="s">
        <v>458</v>
      </c>
      <c r="BD70" s="5" t="s">
        <v>458</v>
      </c>
      <c r="BE70" s="5"/>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row>
    <row r="71" spans="1:100" x14ac:dyDescent="0.2">
      <c r="A71" s="12">
        <v>13</v>
      </c>
      <c r="B71" s="12">
        <v>4</v>
      </c>
      <c r="C71" s="8" t="s">
        <v>60</v>
      </c>
      <c r="D71" s="5">
        <v>2.2335699999999998</v>
      </c>
      <c r="E71" s="5">
        <v>2.5522900000000002</v>
      </c>
      <c r="F71" s="5">
        <v>3.0303800000000001</v>
      </c>
      <c r="G71" s="5">
        <v>3.81671</v>
      </c>
      <c r="H71" s="5">
        <v>3.8271899999999999</v>
      </c>
      <c r="I71" s="5">
        <v>4.3052799999999998</v>
      </c>
      <c r="J71" s="5">
        <v>4.9325099999999997</v>
      </c>
      <c r="K71" s="5">
        <v>5.1378199999999996</v>
      </c>
      <c r="L71" s="5">
        <v>5.42082</v>
      </c>
      <c r="M71" s="5">
        <v>5.7395399999999999</v>
      </c>
      <c r="N71" s="5">
        <v>6.0582700000000003</v>
      </c>
      <c r="O71" s="5">
        <v>7.0039899999999999</v>
      </c>
      <c r="P71" s="5">
        <v>7.33317</v>
      </c>
      <c r="Q71" s="5">
        <v>7.9706200000000003</v>
      </c>
      <c r="R71" s="5">
        <v>8.6080699999999997</v>
      </c>
      <c r="S71" s="5">
        <v>9.2455200000000008</v>
      </c>
      <c r="T71" s="5">
        <v>9.8829700000000003</v>
      </c>
      <c r="U71" s="5">
        <v>10.034520000000001</v>
      </c>
      <c r="V71" s="5">
        <v>11.47659</v>
      </c>
      <c r="W71" s="5">
        <v>12.114039999999999</v>
      </c>
      <c r="X71" s="5">
        <v>12.592129999999999</v>
      </c>
      <c r="Y71" s="5">
        <v>13.22958</v>
      </c>
      <c r="Z71" s="5">
        <v>13.90978</v>
      </c>
      <c r="AA71" s="5">
        <v>15.62002</v>
      </c>
      <c r="AB71" s="5">
        <v>17.054279999999999</v>
      </c>
      <c r="AC71" s="5">
        <v>20.082170000000001</v>
      </c>
      <c r="AD71" s="5">
        <v>21.994520000000001</v>
      </c>
      <c r="AE71" s="5">
        <v>24.066240000000001</v>
      </c>
      <c r="AF71" s="5">
        <v>25.242349999999998</v>
      </c>
      <c r="AG71" s="5" t="s">
        <v>458</v>
      </c>
      <c r="AH71" s="5" t="s">
        <v>458</v>
      </c>
      <c r="AI71" s="5" t="s">
        <v>458</v>
      </c>
      <c r="AJ71" s="5" t="s">
        <v>458</v>
      </c>
      <c r="AK71" s="5" t="s">
        <v>458</v>
      </c>
      <c r="AL71" s="5" t="s">
        <v>458</v>
      </c>
      <c r="AM71" s="5" t="s">
        <v>458</v>
      </c>
      <c r="AN71" s="5" t="s">
        <v>458</v>
      </c>
      <c r="AO71" s="5" t="s">
        <v>458</v>
      </c>
      <c r="AP71" s="5" t="s">
        <v>458</v>
      </c>
      <c r="AQ71" s="5" t="s">
        <v>458</v>
      </c>
      <c r="AR71" s="5" t="s">
        <v>458</v>
      </c>
      <c r="AS71" s="5" t="s">
        <v>458</v>
      </c>
      <c r="AT71" s="5" t="s">
        <v>458</v>
      </c>
      <c r="AU71" s="5" t="s">
        <v>458</v>
      </c>
      <c r="AV71" s="5" t="s">
        <v>458</v>
      </c>
      <c r="AW71" s="5" t="s">
        <v>458</v>
      </c>
      <c r="AX71" s="5" t="s">
        <v>458</v>
      </c>
      <c r="AY71" s="5" t="s">
        <v>458</v>
      </c>
      <c r="AZ71" s="5" t="s">
        <v>458</v>
      </c>
      <c r="BA71" s="5" t="s">
        <v>458</v>
      </c>
      <c r="BB71" s="5" t="s">
        <v>458</v>
      </c>
      <c r="BC71" s="5" t="s">
        <v>458</v>
      </c>
      <c r="BD71" s="5" t="s">
        <v>458</v>
      </c>
      <c r="BE71" s="5"/>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row>
    <row r="72" spans="1:100" s="18" customFormat="1" ht="16" x14ac:dyDescent="0.2">
      <c r="A72" s="26">
        <v>13</v>
      </c>
      <c r="B72" s="32">
        <v>5</v>
      </c>
      <c r="C72" s="32" t="s">
        <v>61</v>
      </c>
      <c r="D72" s="19">
        <v>1.27739</v>
      </c>
      <c r="E72" s="19">
        <v>1.59612</v>
      </c>
      <c r="F72" s="19">
        <v>1.9148400000000001</v>
      </c>
      <c r="G72" s="19">
        <v>2.2335699999999998</v>
      </c>
      <c r="H72" s="19">
        <v>2.9313500000000001</v>
      </c>
      <c r="I72" s="19">
        <v>3.8271899999999999</v>
      </c>
      <c r="J72" s="19">
        <v>4.6239999999999997</v>
      </c>
      <c r="K72" s="19">
        <v>5.26145</v>
      </c>
      <c r="L72" s="19">
        <v>5.8989000000000003</v>
      </c>
      <c r="M72" s="19">
        <v>6.5363499999999997</v>
      </c>
      <c r="N72" s="19">
        <v>7.1738</v>
      </c>
      <c r="O72" s="19">
        <v>8.1299799999999998</v>
      </c>
      <c r="P72" s="19">
        <v>8.7674299999999992</v>
      </c>
      <c r="Q72" s="19">
        <v>9.4048800000000004</v>
      </c>
      <c r="R72" s="19">
        <v>9.8829700000000003</v>
      </c>
      <c r="S72" s="19">
        <v>10.52042</v>
      </c>
      <c r="T72" s="19">
        <v>11.635960000000001</v>
      </c>
      <c r="U72" s="19">
        <v>11.95468</v>
      </c>
      <c r="V72" s="19">
        <v>12.592129999999999</v>
      </c>
      <c r="W72" s="19">
        <v>13.38894</v>
      </c>
      <c r="X72" s="19">
        <v>14.026389999999999</v>
      </c>
      <c r="Y72" s="19">
        <v>14.66384</v>
      </c>
      <c r="Z72" s="19">
        <v>15.30129</v>
      </c>
      <c r="AA72" s="19">
        <v>18.010459999999998</v>
      </c>
      <c r="AB72" s="19">
        <v>20.878979999999999</v>
      </c>
      <c r="AC72" s="19">
        <v>23.906870000000001</v>
      </c>
      <c r="AD72" s="19">
        <v>27.253489999999999</v>
      </c>
      <c r="AE72" s="19">
        <v>29.96265</v>
      </c>
      <c r="AF72" s="19">
        <v>31.875</v>
      </c>
      <c r="AG72" s="19" t="s">
        <v>458</v>
      </c>
      <c r="AH72" s="19" t="s">
        <v>458</v>
      </c>
      <c r="AI72" s="19" t="s">
        <v>458</v>
      </c>
      <c r="AJ72" s="19" t="s">
        <v>458</v>
      </c>
      <c r="AK72" s="19" t="s">
        <v>458</v>
      </c>
      <c r="AL72" s="19" t="s">
        <v>458</v>
      </c>
      <c r="AM72" s="19" t="s">
        <v>458</v>
      </c>
      <c r="AN72" s="19" t="s">
        <v>458</v>
      </c>
      <c r="AO72" s="19" t="s">
        <v>458</v>
      </c>
      <c r="AP72" s="19" t="s">
        <v>458</v>
      </c>
      <c r="AQ72" s="19" t="s">
        <v>458</v>
      </c>
      <c r="AR72" s="19" t="s">
        <v>458</v>
      </c>
      <c r="AS72" s="19" t="s">
        <v>458</v>
      </c>
      <c r="AT72" s="19" t="s">
        <v>458</v>
      </c>
      <c r="AU72" s="19" t="s">
        <v>458</v>
      </c>
      <c r="AV72" s="19" t="s">
        <v>458</v>
      </c>
      <c r="AW72" s="19" t="s">
        <v>458</v>
      </c>
      <c r="AX72" s="19" t="s">
        <v>458</v>
      </c>
      <c r="AY72" s="19" t="s">
        <v>458</v>
      </c>
      <c r="AZ72" s="19" t="s">
        <v>458</v>
      </c>
      <c r="BA72" s="19" t="s">
        <v>458</v>
      </c>
      <c r="BB72" s="19" t="s">
        <v>458</v>
      </c>
      <c r="BC72" s="19" t="s">
        <v>458</v>
      </c>
      <c r="BD72" s="19" t="s">
        <v>458</v>
      </c>
      <c r="BE72" s="19"/>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row>
    <row r="73" spans="1:100" ht="16" x14ac:dyDescent="0.2">
      <c r="A73" s="25">
        <v>14</v>
      </c>
      <c r="B73" s="31">
        <v>1</v>
      </c>
      <c r="C73" s="31" t="s">
        <v>62</v>
      </c>
      <c r="D73" s="5">
        <v>0.21</v>
      </c>
      <c r="E73" s="5">
        <v>0.53490000000000004</v>
      </c>
      <c r="F73" s="5">
        <v>0.63470000000000004</v>
      </c>
      <c r="G73" s="5">
        <v>0.73555000000000004</v>
      </c>
      <c r="H73" s="5" t="s">
        <v>458</v>
      </c>
      <c r="I73" s="5" t="s">
        <v>458</v>
      </c>
      <c r="J73" s="5" t="s">
        <v>458</v>
      </c>
      <c r="K73" s="5" t="s">
        <v>458</v>
      </c>
      <c r="L73" s="5" t="s">
        <v>458</v>
      </c>
      <c r="M73" s="5" t="s">
        <v>458</v>
      </c>
      <c r="N73" s="5" t="s">
        <v>458</v>
      </c>
      <c r="O73" s="5" t="s">
        <v>458</v>
      </c>
      <c r="P73" s="5" t="s">
        <v>458</v>
      </c>
      <c r="Q73" s="5" t="s">
        <v>458</v>
      </c>
      <c r="R73" s="5" t="s">
        <v>458</v>
      </c>
      <c r="S73" s="5" t="s">
        <v>458</v>
      </c>
      <c r="T73" s="5" t="s">
        <v>458</v>
      </c>
      <c r="U73" s="5" t="s">
        <v>458</v>
      </c>
      <c r="V73" s="5" t="s">
        <v>458</v>
      </c>
      <c r="W73" s="5" t="s">
        <v>458</v>
      </c>
      <c r="X73" s="5" t="s">
        <v>458</v>
      </c>
      <c r="Y73" s="5" t="s">
        <v>458</v>
      </c>
      <c r="Z73" s="5" t="s">
        <v>458</v>
      </c>
      <c r="AA73" s="5" t="s">
        <v>458</v>
      </c>
      <c r="AB73" s="5" t="s">
        <v>458</v>
      </c>
      <c r="AC73" s="5" t="s">
        <v>458</v>
      </c>
      <c r="AD73" s="5" t="s">
        <v>458</v>
      </c>
      <c r="AE73" s="5" t="s">
        <v>458</v>
      </c>
      <c r="AF73" s="5" t="s">
        <v>458</v>
      </c>
      <c r="AG73" s="5" t="s">
        <v>458</v>
      </c>
      <c r="AH73" s="5" t="s">
        <v>458</v>
      </c>
      <c r="AI73" s="5" t="s">
        <v>458</v>
      </c>
      <c r="AJ73" s="5" t="s">
        <v>458</v>
      </c>
      <c r="AK73" s="5" t="s">
        <v>458</v>
      </c>
      <c r="AL73" s="5" t="s">
        <v>458</v>
      </c>
      <c r="AM73" s="5" t="s">
        <v>458</v>
      </c>
      <c r="AN73" s="5" t="s">
        <v>458</v>
      </c>
      <c r="AO73" s="5" t="s">
        <v>458</v>
      </c>
      <c r="AP73" s="5" t="s">
        <v>458</v>
      </c>
      <c r="AQ73" s="5" t="s">
        <v>458</v>
      </c>
      <c r="AR73" s="5" t="s">
        <v>458</v>
      </c>
      <c r="AS73" s="5" t="s">
        <v>458</v>
      </c>
      <c r="AT73" s="5" t="s">
        <v>458</v>
      </c>
      <c r="AU73" s="5" t="s">
        <v>458</v>
      </c>
      <c r="AV73" s="5" t="s">
        <v>458</v>
      </c>
      <c r="AW73" s="5" t="s">
        <v>458</v>
      </c>
      <c r="AX73" s="5" t="s">
        <v>458</v>
      </c>
      <c r="AY73" s="5" t="s">
        <v>458</v>
      </c>
      <c r="AZ73" s="5" t="s">
        <v>458</v>
      </c>
      <c r="BA73" s="5" t="s">
        <v>458</v>
      </c>
      <c r="BB73" s="5" t="s">
        <v>458</v>
      </c>
      <c r="BC73" s="5" t="s">
        <v>458</v>
      </c>
      <c r="BD73" s="5" t="s">
        <v>458</v>
      </c>
      <c r="BE73" s="5"/>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row>
    <row r="74" spans="1:100" ht="16" x14ac:dyDescent="0.2">
      <c r="A74" s="25">
        <v>14</v>
      </c>
      <c r="B74" s="31">
        <v>2</v>
      </c>
      <c r="C74" s="31" t="s">
        <v>63</v>
      </c>
      <c r="D74" s="14">
        <v>1.1033299999999999</v>
      </c>
      <c r="E74" s="14">
        <v>1.78634</v>
      </c>
      <c r="F74" s="14">
        <v>1.9439599999999999</v>
      </c>
      <c r="G74" s="14">
        <v>2.57443</v>
      </c>
      <c r="H74" s="14">
        <v>3.2574399999999999</v>
      </c>
      <c r="I74" s="14">
        <v>3.5726800000000001</v>
      </c>
      <c r="J74" s="14">
        <v>3.9404599999999999</v>
      </c>
      <c r="K74" s="14">
        <v>4.30823</v>
      </c>
      <c r="L74" s="5">
        <v>4.5709299999999997</v>
      </c>
      <c r="M74" s="14">
        <v>4.6760099999999998</v>
      </c>
      <c r="N74" s="5">
        <v>4.9386999999999999</v>
      </c>
      <c r="O74" s="5">
        <v>4.9912400000000003</v>
      </c>
      <c r="P74" s="5">
        <v>5.0437799999999999</v>
      </c>
      <c r="Q74" s="5">
        <v>5.6217199999999998</v>
      </c>
      <c r="R74" s="5">
        <v>5.8844099999999999</v>
      </c>
      <c r="S74" s="14">
        <v>6.1471099999999996</v>
      </c>
      <c r="T74" s="5">
        <v>6.4098100000000002</v>
      </c>
      <c r="U74" s="5">
        <v>6.6199599999999998</v>
      </c>
      <c r="V74" s="5" t="s">
        <v>458</v>
      </c>
      <c r="W74" s="5" t="s">
        <v>458</v>
      </c>
      <c r="X74" s="5" t="s">
        <v>458</v>
      </c>
      <c r="Y74" s="5" t="s">
        <v>458</v>
      </c>
      <c r="Z74" s="5" t="s">
        <v>458</v>
      </c>
      <c r="AA74" s="5" t="s">
        <v>458</v>
      </c>
      <c r="AB74" s="5" t="s">
        <v>458</v>
      </c>
      <c r="AC74" s="5" t="s">
        <v>458</v>
      </c>
      <c r="AD74" s="5" t="s">
        <v>458</v>
      </c>
      <c r="AE74" s="5" t="s">
        <v>458</v>
      </c>
      <c r="AF74" s="5" t="s">
        <v>458</v>
      </c>
      <c r="AG74" s="5" t="s">
        <v>458</v>
      </c>
      <c r="AH74" s="5" t="s">
        <v>458</v>
      </c>
      <c r="AI74" s="5" t="s">
        <v>458</v>
      </c>
      <c r="AJ74" s="5" t="s">
        <v>458</v>
      </c>
      <c r="AK74" s="5" t="s">
        <v>458</v>
      </c>
      <c r="AL74" s="5" t="s">
        <v>458</v>
      </c>
      <c r="AM74" s="5" t="s">
        <v>458</v>
      </c>
      <c r="AN74" s="5" t="s">
        <v>458</v>
      </c>
      <c r="AO74" s="5" t="s">
        <v>458</v>
      </c>
      <c r="AP74" s="5" t="s">
        <v>458</v>
      </c>
      <c r="AQ74" s="5" t="s">
        <v>458</v>
      </c>
      <c r="AR74" s="5" t="s">
        <v>458</v>
      </c>
      <c r="AS74" s="5" t="s">
        <v>458</v>
      </c>
      <c r="AT74" s="5" t="s">
        <v>458</v>
      </c>
      <c r="AU74" s="5" t="s">
        <v>458</v>
      </c>
      <c r="AV74" s="5" t="s">
        <v>458</v>
      </c>
      <c r="AW74" s="5" t="s">
        <v>458</v>
      </c>
      <c r="AX74" s="5" t="s">
        <v>458</v>
      </c>
      <c r="AY74" s="5" t="s">
        <v>458</v>
      </c>
      <c r="AZ74" s="5" t="s">
        <v>458</v>
      </c>
      <c r="BA74" s="5" t="s">
        <v>458</v>
      </c>
      <c r="BB74" s="5" t="s">
        <v>458</v>
      </c>
      <c r="BC74" s="5" t="s">
        <v>458</v>
      </c>
      <c r="BD74" s="5" t="s">
        <v>458</v>
      </c>
      <c r="BE74" s="5"/>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row>
    <row r="75" spans="1:100" ht="16" x14ac:dyDescent="0.2">
      <c r="A75" s="25">
        <v>14</v>
      </c>
      <c r="B75" s="31">
        <v>3</v>
      </c>
      <c r="C75" s="31" t="s">
        <v>64</v>
      </c>
      <c r="D75" s="5">
        <v>1.8970800000000001</v>
      </c>
      <c r="E75" s="5">
        <v>2.3470800000000001</v>
      </c>
      <c r="F75" s="5">
        <v>2.7970700000000002</v>
      </c>
      <c r="G75" s="5">
        <v>3.9542000000000002</v>
      </c>
      <c r="H75" s="5">
        <v>4.4042000000000003</v>
      </c>
      <c r="I75" s="5">
        <v>4.66134</v>
      </c>
      <c r="J75" s="5">
        <v>4.9184799999999997</v>
      </c>
      <c r="K75" s="5">
        <v>5.1756200000000003</v>
      </c>
      <c r="L75" s="5">
        <v>5.43276</v>
      </c>
      <c r="M75" s="5">
        <v>5.6898999999999997</v>
      </c>
      <c r="N75" s="5">
        <v>5.9470400000000003</v>
      </c>
      <c r="O75" s="5">
        <v>6.20418</v>
      </c>
      <c r="P75" s="5">
        <v>6.4613199999999997</v>
      </c>
      <c r="Q75" s="5">
        <v>6.7184600000000003</v>
      </c>
      <c r="R75" s="5">
        <v>7.16845</v>
      </c>
      <c r="S75" s="5">
        <v>8.5827200000000001</v>
      </c>
      <c r="T75" s="14">
        <v>9.0969999999999995</v>
      </c>
      <c r="U75" s="5">
        <v>9.4827100000000009</v>
      </c>
      <c r="V75" s="5">
        <v>9.9327100000000002</v>
      </c>
      <c r="W75" s="5">
        <v>10.3827</v>
      </c>
      <c r="X75" s="5">
        <v>10.3827</v>
      </c>
      <c r="Y75" s="5">
        <v>10.25413</v>
      </c>
      <c r="Z75" s="5">
        <v>10.18985</v>
      </c>
      <c r="AA75" s="5">
        <v>10.06128</v>
      </c>
      <c r="AB75" s="5">
        <v>9.9969900000000003</v>
      </c>
      <c r="AC75" s="5">
        <v>9.8684200000000004</v>
      </c>
      <c r="AD75" s="5">
        <v>9.7398500000000006</v>
      </c>
      <c r="AE75" s="5">
        <v>9.6755700000000004</v>
      </c>
      <c r="AF75" s="5">
        <v>9.6112800000000007</v>
      </c>
      <c r="AG75" s="5" t="s">
        <v>458</v>
      </c>
      <c r="AH75" s="5" t="s">
        <v>458</v>
      </c>
      <c r="AI75" s="5" t="s">
        <v>458</v>
      </c>
      <c r="AJ75" s="5" t="s">
        <v>458</v>
      </c>
      <c r="AK75" s="5" t="s">
        <v>458</v>
      </c>
      <c r="AL75" s="5" t="s">
        <v>458</v>
      </c>
      <c r="AM75" s="5" t="s">
        <v>458</v>
      </c>
      <c r="AN75" s="5" t="s">
        <v>458</v>
      </c>
      <c r="AO75" s="5" t="s">
        <v>458</v>
      </c>
      <c r="AP75" s="5" t="s">
        <v>458</v>
      </c>
      <c r="AQ75" s="5" t="s">
        <v>458</v>
      </c>
      <c r="AR75" s="5" t="s">
        <v>458</v>
      </c>
      <c r="AS75" s="5" t="s">
        <v>458</v>
      </c>
      <c r="AT75" s="5" t="s">
        <v>458</v>
      </c>
      <c r="AU75" s="5" t="s">
        <v>458</v>
      </c>
      <c r="AV75" s="5" t="s">
        <v>458</v>
      </c>
      <c r="AW75" s="5" t="s">
        <v>458</v>
      </c>
      <c r="AX75" s="5" t="s">
        <v>458</v>
      </c>
      <c r="AY75" s="5" t="s">
        <v>458</v>
      </c>
      <c r="AZ75" s="5" t="s">
        <v>458</v>
      </c>
      <c r="BA75" s="5" t="s">
        <v>458</v>
      </c>
      <c r="BB75" s="5" t="s">
        <v>458</v>
      </c>
      <c r="BC75" s="5" t="s">
        <v>458</v>
      </c>
      <c r="BD75" s="5" t="s">
        <v>458</v>
      </c>
      <c r="BE75" s="5"/>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row>
    <row r="76" spans="1:100" s="18" customFormat="1" ht="16" x14ac:dyDescent="0.2">
      <c r="A76" s="26">
        <v>14</v>
      </c>
      <c r="B76" s="32">
        <v>4</v>
      </c>
      <c r="C76" s="32" t="s">
        <v>65</v>
      </c>
      <c r="D76" s="19">
        <v>0.78571000000000002</v>
      </c>
      <c r="E76" s="19">
        <v>1.2142900000000001</v>
      </c>
      <c r="F76" s="19">
        <v>2.2142900000000001</v>
      </c>
      <c r="G76" s="19">
        <v>2.7142900000000001</v>
      </c>
      <c r="H76" s="19">
        <v>3.5</v>
      </c>
      <c r="I76" s="19">
        <v>4.6428599999999998</v>
      </c>
      <c r="J76" s="19">
        <v>5.5</v>
      </c>
      <c r="K76" s="19">
        <v>6.3571400000000002</v>
      </c>
      <c r="L76" s="19">
        <v>7.4285699999999997</v>
      </c>
      <c r="M76" s="19">
        <v>8.0714299999999994</v>
      </c>
      <c r="N76" s="19">
        <v>9</v>
      </c>
      <c r="O76" s="19">
        <v>9.7857099999999999</v>
      </c>
      <c r="P76" s="19">
        <v>12</v>
      </c>
      <c r="Q76" s="19">
        <v>13.428570000000001</v>
      </c>
      <c r="R76" s="19">
        <v>14.428570000000001</v>
      </c>
      <c r="S76" s="19">
        <v>16.142859999999999</v>
      </c>
      <c r="T76" s="19">
        <v>17.285720000000001</v>
      </c>
      <c r="U76" s="19">
        <v>18.714289999999998</v>
      </c>
      <c r="V76" s="19">
        <v>19.857140000000001</v>
      </c>
      <c r="W76" s="19">
        <v>19.357140000000001</v>
      </c>
      <c r="X76" s="19">
        <v>19</v>
      </c>
      <c r="Y76" s="19">
        <v>18.882560000000002</v>
      </c>
      <c r="Z76" s="19">
        <v>18.642859999999999</v>
      </c>
      <c r="AA76" s="19">
        <v>18.285710000000002</v>
      </c>
      <c r="AB76" s="19">
        <v>17.928570000000001</v>
      </c>
      <c r="AC76" s="19">
        <v>17.357140000000001</v>
      </c>
      <c r="AD76" s="19" t="s">
        <v>458</v>
      </c>
      <c r="AE76" s="19" t="s">
        <v>458</v>
      </c>
      <c r="AF76" s="19" t="s">
        <v>458</v>
      </c>
      <c r="AG76" s="19" t="s">
        <v>458</v>
      </c>
      <c r="AH76" s="19" t="s">
        <v>458</v>
      </c>
      <c r="AI76" s="19" t="s">
        <v>458</v>
      </c>
      <c r="AJ76" s="19" t="s">
        <v>458</v>
      </c>
      <c r="AK76" s="19" t="s">
        <v>458</v>
      </c>
      <c r="AL76" s="19" t="s">
        <v>458</v>
      </c>
      <c r="AM76" s="19" t="s">
        <v>458</v>
      </c>
      <c r="AN76" s="19" t="s">
        <v>458</v>
      </c>
      <c r="AO76" s="19" t="s">
        <v>458</v>
      </c>
      <c r="AP76" s="19" t="s">
        <v>458</v>
      </c>
      <c r="AQ76" s="19" t="s">
        <v>458</v>
      </c>
      <c r="AR76" s="19" t="s">
        <v>458</v>
      </c>
      <c r="AS76" s="19" t="s">
        <v>458</v>
      </c>
      <c r="AT76" s="19" t="s">
        <v>458</v>
      </c>
      <c r="AU76" s="19" t="s">
        <v>458</v>
      </c>
      <c r="AV76" s="19" t="s">
        <v>458</v>
      </c>
      <c r="AW76" s="19" t="s">
        <v>458</v>
      </c>
      <c r="AX76" s="19" t="s">
        <v>458</v>
      </c>
      <c r="AY76" s="19" t="s">
        <v>458</v>
      </c>
      <c r="AZ76" s="19" t="s">
        <v>458</v>
      </c>
      <c r="BA76" s="19" t="s">
        <v>458</v>
      </c>
      <c r="BB76" s="19" t="s">
        <v>458</v>
      </c>
      <c r="BC76" s="19" t="s">
        <v>458</v>
      </c>
      <c r="BD76" s="19" t="s">
        <v>458</v>
      </c>
      <c r="BE76" s="19"/>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row>
    <row r="77" spans="1:100" ht="16" x14ac:dyDescent="0.2">
      <c r="A77" s="12">
        <v>15</v>
      </c>
      <c r="B77" s="12">
        <v>4</v>
      </c>
      <c r="C77" s="12" t="s">
        <v>29</v>
      </c>
      <c r="D77" s="5">
        <v>9.3920000000000003E-2</v>
      </c>
      <c r="E77" s="5">
        <v>9.3920000000000003E-2</v>
      </c>
      <c r="F77" s="5">
        <v>0.24442</v>
      </c>
      <c r="G77" s="5">
        <v>0.54542000000000002</v>
      </c>
      <c r="H77" s="5">
        <v>1.29792</v>
      </c>
      <c r="I77" s="5">
        <v>1.44842</v>
      </c>
      <c r="J77" s="5">
        <v>1.8999200000000001</v>
      </c>
      <c r="K77" s="5">
        <v>2.20092</v>
      </c>
      <c r="L77" s="5">
        <v>4.4584200000000003</v>
      </c>
      <c r="M77" s="5">
        <v>11.230919999999999</v>
      </c>
      <c r="N77" s="5">
        <v>14.240919999999999</v>
      </c>
      <c r="O77" s="5">
        <v>17.250920000000001</v>
      </c>
      <c r="P77" s="5">
        <v>20.260919999999999</v>
      </c>
      <c r="Q77" s="5">
        <v>23.27092</v>
      </c>
      <c r="R77" s="5">
        <v>28.086919999999999</v>
      </c>
      <c r="S77" s="5">
        <v>31.096920000000001</v>
      </c>
      <c r="T77" s="5">
        <v>34.106920000000002</v>
      </c>
      <c r="U77" s="5">
        <v>37.11692</v>
      </c>
      <c r="V77" s="5">
        <v>40.126919999999998</v>
      </c>
      <c r="W77" s="5">
        <v>43.136920000000003</v>
      </c>
      <c r="X77" s="5">
        <v>46.146920000000001</v>
      </c>
      <c r="Y77" s="5">
        <v>49.15692</v>
      </c>
      <c r="Z77" s="5">
        <v>52.166919999999998</v>
      </c>
      <c r="AA77" s="5">
        <v>55.628419999999998</v>
      </c>
      <c r="AB77" s="5">
        <v>58.638420000000004</v>
      </c>
      <c r="AC77" s="5">
        <v>61.648420000000002</v>
      </c>
      <c r="AD77" s="5">
        <v>64.658420000000007</v>
      </c>
      <c r="AE77" s="5">
        <v>67.668419999999998</v>
      </c>
      <c r="AF77" s="5">
        <v>77.149919999999995</v>
      </c>
      <c r="AG77" s="5">
        <v>79.708420000000004</v>
      </c>
      <c r="AH77" s="5">
        <v>82.116420000000005</v>
      </c>
      <c r="AI77" s="5">
        <v>84.67492</v>
      </c>
      <c r="AJ77" s="5">
        <v>86.179919999999996</v>
      </c>
      <c r="AK77" s="5">
        <v>87.233419999999995</v>
      </c>
      <c r="AL77" s="5">
        <v>88.437420000000003</v>
      </c>
      <c r="AM77" s="5">
        <v>89.490920000000003</v>
      </c>
      <c r="AN77" s="5">
        <v>90.544420000000002</v>
      </c>
      <c r="AO77" s="5">
        <v>91.748419999999996</v>
      </c>
      <c r="AP77" s="5">
        <v>92.952420000000004</v>
      </c>
      <c r="AQ77" s="5">
        <v>94.005930000000006</v>
      </c>
      <c r="AR77" s="5" t="s">
        <v>458</v>
      </c>
      <c r="AS77" s="5" t="s">
        <v>458</v>
      </c>
      <c r="AT77" s="5" t="s">
        <v>458</v>
      </c>
      <c r="AU77" s="5" t="s">
        <v>458</v>
      </c>
      <c r="AV77" s="5" t="s">
        <v>458</v>
      </c>
      <c r="AW77" s="5" t="s">
        <v>458</v>
      </c>
      <c r="AX77" s="5" t="s">
        <v>458</v>
      </c>
      <c r="AY77" s="5" t="s">
        <v>458</v>
      </c>
      <c r="AZ77" s="5" t="s">
        <v>458</v>
      </c>
      <c r="BA77" s="5" t="s">
        <v>458</v>
      </c>
      <c r="BB77" s="5" t="s">
        <v>458</v>
      </c>
      <c r="BC77" s="5" t="s">
        <v>458</v>
      </c>
      <c r="BD77" s="5" t="s">
        <v>458</v>
      </c>
      <c r="BE77" s="5"/>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row>
    <row r="78" spans="1:100" ht="16" x14ac:dyDescent="0.2">
      <c r="A78" s="25">
        <v>15</v>
      </c>
      <c r="B78" s="31">
        <v>5</v>
      </c>
      <c r="C78" s="31" t="s">
        <v>66</v>
      </c>
      <c r="D78" s="5">
        <v>0.54542000000000002</v>
      </c>
      <c r="E78" s="5">
        <v>1.1474200000000001</v>
      </c>
      <c r="F78" s="5">
        <v>1.44842</v>
      </c>
      <c r="G78" s="5">
        <v>1.5989199999999999</v>
      </c>
      <c r="H78" s="5">
        <v>3.01003</v>
      </c>
      <c r="I78" s="5">
        <v>4.0133700000000001</v>
      </c>
      <c r="J78" s="5">
        <v>4.9099199999999996</v>
      </c>
      <c r="K78" s="5">
        <v>5.8129200000000001</v>
      </c>
      <c r="L78" s="5">
        <v>8.2209199999999996</v>
      </c>
      <c r="M78" s="5">
        <v>14.240919999999999</v>
      </c>
      <c r="N78" s="5">
        <v>17.250920000000001</v>
      </c>
      <c r="O78" s="5">
        <v>20.260919999999999</v>
      </c>
      <c r="P78" s="5">
        <v>23.27092</v>
      </c>
      <c r="Q78" s="5">
        <v>26.280919999999998</v>
      </c>
      <c r="R78" s="5">
        <v>29.29092</v>
      </c>
      <c r="S78" s="5">
        <v>32.300919999999998</v>
      </c>
      <c r="T78" s="5">
        <v>35.310920000000003</v>
      </c>
      <c r="U78" s="5">
        <v>38.79598</v>
      </c>
      <c r="V78" s="5">
        <v>46.153840000000002</v>
      </c>
      <c r="W78" s="5">
        <v>50.16722</v>
      </c>
      <c r="X78" s="5">
        <v>57.692300000000003</v>
      </c>
      <c r="Y78" s="5">
        <v>63.303919999999998</v>
      </c>
      <c r="Z78" s="5">
        <v>66.313919999999996</v>
      </c>
      <c r="AA78" s="5">
        <v>69.323920000000001</v>
      </c>
      <c r="AB78" s="5">
        <v>72.333920000000006</v>
      </c>
      <c r="AC78" s="5">
        <v>73.387420000000006</v>
      </c>
      <c r="AD78" s="5">
        <v>74.892420000000001</v>
      </c>
      <c r="AE78" s="5">
        <v>76.397419999999997</v>
      </c>
      <c r="AF78" s="5">
        <v>78.353920000000002</v>
      </c>
      <c r="AG78" s="5">
        <v>80.15992</v>
      </c>
      <c r="AH78" s="5">
        <v>82.116420000000005</v>
      </c>
      <c r="AI78" s="5">
        <v>82.868920000000003</v>
      </c>
      <c r="AJ78" s="5">
        <v>85.276920000000004</v>
      </c>
      <c r="AK78" s="5">
        <v>87.534419999999997</v>
      </c>
      <c r="AL78" s="5">
        <v>90.544420000000002</v>
      </c>
      <c r="AM78" s="5">
        <v>91.447419999999994</v>
      </c>
      <c r="AN78" s="5">
        <v>92.500919999999994</v>
      </c>
      <c r="AO78" s="5">
        <v>93.403930000000003</v>
      </c>
      <c r="AP78" s="5">
        <v>94.15643</v>
      </c>
      <c r="AQ78" s="5">
        <v>95.059430000000006</v>
      </c>
      <c r="AR78" s="5">
        <v>95.962429999999998</v>
      </c>
      <c r="AS78" s="5">
        <v>96.865430000000003</v>
      </c>
      <c r="AT78" s="5" t="s">
        <v>458</v>
      </c>
      <c r="AU78" s="5" t="s">
        <v>458</v>
      </c>
      <c r="AV78" s="5" t="s">
        <v>458</v>
      </c>
      <c r="AW78" s="5" t="s">
        <v>458</v>
      </c>
      <c r="AX78" s="5" t="s">
        <v>458</v>
      </c>
      <c r="AY78" s="5" t="s">
        <v>458</v>
      </c>
      <c r="AZ78" s="5" t="s">
        <v>458</v>
      </c>
      <c r="BA78" s="5" t="s">
        <v>458</v>
      </c>
      <c r="BB78" s="5" t="s">
        <v>458</v>
      </c>
      <c r="BC78" s="5" t="s">
        <v>458</v>
      </c>
      <c r="BD78" s="5" t="s">
        <v>458</v>
      </c>
      <c r="BE78" s="5"/>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row>
    <row r="79" spans="1:100" s="18" customFormat="1" ht="16" x14ac:dyDescent="0.2">
      <c r="A79" s="26">
        <v>15</v>
      </c>
      <c r="B79" s="32">
        <v>6</v>
      </c>
      <c r="C79" s="32" t="s">
        <v>67</v>
      </c>
      <c r="D79" s="19">
        <v>9.3920000000000003E-2</v>
      </c>
      <c r="E79" s="19">
        <v>0.84641999999999995</v>
      </c>
      <c r="F79" s="19">
        <v>1.44842</v>
      </c>
      <c r="G79" s="19">
        <v>2.0504199999999999</v>
      </c>
      <c r="H79" s="19">
        <v>2.6524200000000002</v>
      </c>
      <c r="I79" s="19">
        <v>3.2544200000000001</v>
      </c>
      <c r="J79" s="19">
        <v>3.85642</v>
      </c>
      <c r="K79" s="19">
        <v>6.1139200000000002</v>
      </c>
      <c r="L79" s="19">
        <v>9.12392</v>
      </c>
      <c r="M79" s="19">
        <v>12.13392</v>
      </c>
      <c r="N79" s="19">
        <v>15.14392</v>
      </c>
      <c r="O79" s="19">
        <v>18.153919999999999</v>
      </c>
      <c r="P79" s="19">
        <v>21.01342</v>
      </c>
      <c r="Q79" s="19">
        <v>24.023420000000002</v>
      </c>
      <c r="R79" s="19">
        <v>27.03342</v>
      </c>
      <c r="S79" s="19">
        <v>30.043420000000001</v>
      </c>
      <c r="T79" s="19">
        <v>33.053420000000003</v>
      </c>
      <c r="U79" s="19">
        <v>36.063420000000001</v>
      </c>
      <c r="V79" s="19">
        <v>39.073419999999999</v>
      </c>
      <c r="W79" s="19">
        <v>42.083419999999997</v>
      </c>
      <c r="X79" s="19">
        <v>45.093420000000002</v>
      </c>
      <c r="Y79" s="19">
        <v>48.10342</v>
      </c>
      <c r="Z79" s="19">
        <v>51.113419999999998</v>
      </c>
      <c r="AA79" s="19">
        <v>54.123420000000003</v>
      </c>
      <c r="AB79" s="19">
        <v>57.133420000000001</v>
      </c>
      <c r="AC79" s="19">
        <v>59.992919999999998</v>
      </c>
      <c r="AD79" s="19">
        <v>63.002920000000003</v>
      </c>
      <c r="AE79" s="19">
        <v>65.86242</v>
      </c>
      <c r="AF79" s="19">
        <v>68.721919999999997</v>
      </c>
      <c r="AG79" s="19">
        <v>71.731920000000002</v>
      </c>
      <c r="AH79" s="19">
        <v>74.591419999999999</v>
      </c>
      <c r="AI79" s="19">
        <v>77.601420000000005</v>
      </c>
      <c r="AJ79" s="19">
        <v>80.611419999999995</v>
      </c>
      <c r="AK79" s="19">
        <v>83.621420000000001</v>
      </c>
      <c r="AL79" s="19">
        <v>86.631420000000006</v>
      </c>
      <c r="AM79" s="19">
        <v>89.340419999999995</v>
      </c>
      <c r="AN79" s="19">
        <v>90.544420000000002</v>
      </c>
      <c r="AO79" s="19">
        <v>91.748419999999996</v>
      </c>
      <c r="AP79" s="19">
        <v>92.801919999999996</v>
      </c>
      <c r="AQ79" s="19">
        <v>93.855429999999998</v>
      </c>
      <c r="AR79" s="19">
        <v>95.059430000000006</v>
      </c>
      <c r="AS79" s="19">
        <v>96.112930000000006</v>
      </c>
      <c r="AT79" s="19">
        <v>97.166430000000005</v>
      </c>
      <c r="AU79" s="19">
        <v>98.370429999999999</v>
      </c>
      <c r="AV79" s="19" t="s">
        <v>458</v>
      </c>
      <c r="AW79" s="19" t="s">
        <v>458</v>
      </c>
      <c r="AX79" s="19" t="s">
        <v>458</v>
      </c>
      <c r="AY79" s="19" t="s">
        <v>458</v>
      </c>
      <c r="AZ79" s="19" t="s">
        <v>458</v>
      </c>
      <c r="BA79" s="19" t="s">
        <v>458</v>
      </c>
      <c r="BB79" s="19" t="s">
        <v>458</v>
      </c>
      <c r="BC79" s="19" t="s">
        <v>458</v>
      </c>
      <c r="BD79" s="19" t="s">
        <v>458</v>
      </c>
      <c r="BE79" s="19"/>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row>
    <row r="80" spans="1:100" x14ac:dyDescent="0.2">
      <c r="A80" s="21">
        <v>16</v>
      </c>
      <c r="B80" s="29" t="s">
        <v>349</v>
      </c>
      <c r="C80" s="29" t="s">
        <v>29</v>
      </c>
      <c r="D80" s="5">
        <v>14</v>
      </c>
      <c r="E80" s="5" t="s">
        <v>458</v>
      </c>
      <c r="F80" s="5" t="s">
        <v>458</v>
      </c>
      <c r="G80" s="5" t="s">
        <v>458</v>
      </c>
      <c r="H80" s="5" t="s">
        <v>458</v>
      </c>
      <c r="I80" s="5" t="s">
        <v>458</v>
      </c>
      <c r="J80" s="5" t="s">
        <v>458</v>
      </c>
      <c r="K80" s="5" t="s">
        <v>458</v>
      </c>
      <c r="L80" s="5" t="s">
        <v>458</v>
      </c>
      <c r="M80" s="5" t="s">
        <v>458</v>
      </c>
      <c r="N80" s="5" t="s">
        <v>458</v>
      </c>
      <c r="O80" s="5" t="s">
        <v>458</v>
      </c>
      <c r="P80" s="5" t="s">
        <v>458</v>
      </c>
      <c r="Q80" s="5" t="s">
        <v>458</v>
      </c>
      <c r="R80" s="5" t="s">
        <v>458</v>
      </c>
      <c r="S80" s="5" t="s">
        <v>458</v>
      </c>
      <c r="T80" s="5" t="s">
        <v>458</v>
      </c>
      <c r="U80" s="5" t="s">
        <v>458</v>
      </c>
      <c r="V80" s="5" t="s">
        <v>458</v>
      </c>
      <c r="W80" s="5" t="s">
        <v>458</v>
      </c>
      <c r="X80" s="5" t="s">
        <v>458</v>
      </c>
      <c r="Y80" s="5" t="s">
        <v>458</v>
      </c>
      <c r="Z80" s="5" t="s">
        <v>458</v>
      </c>
      <c r="AA80" s="5" t="s">
        <v>458</v>
      </c>
      <c r="AB80" s="5" t="s">
        <v>458</v>
      </c>
      <c r="AC80" s="5" t="s">
        <v>458</v>
      </c>
      <c r="AD80" s="5" t="s">
        <v>458</v>
      </c>
      <c r="AE80" s="5" t="s">
        <v>458</v>
      </c>
      <c r="AF80" s="5" t="s">
        <v>458</v>
      </c>
      <c r="AG80" s="5" t="s">
        <v>458</v>
      </c>
      <c r="AH80" s="5" t="s">
        <v>458</v>
      </c>
      <c r="AI80" s="5" t="s">
        <v>458</v>
      </c>
      <c r="AJ80" s="5" t="s">
        <v>458</v>
      </c>
      <c r="AK80" s="5" t="s">
        <v>458</v>
      </c>
      <c r="AL80" s="5" t="s">
        <v>458</v>
      </c>
      <c r="AM80" s="5" t="s">
        <v>458</v>
      </c>
      <c r="AN80" s="5" t="s">
        <v>458</v>
      </c>
      <c r="AO80" s="5" t="s">
        <v>458</v>
      </c>
      <c r="AP80" s="5" t="s">
        <v>458</v>
      </c>
      <c r="AQ80" s="5" t="s">
        <v>458</v>
      </c>
      <c r="AR80" s="5" t="s">
        <v>458</v>
      </c>
      <c r="AS80" s="5" t="s">
        <v>458</v>
      </c>
      <c r="AT80" s="5" t="s">
        <v>458</v>
      </c>
      <c r="AU80" s="5" t="s">
        <v>458</v>
      </c>
      <c r="AV80" s="5" t="s">
        <v>458</v>
      </c>
      <c r="AW80" s="5" t="s">
        <v>458</v>
      </c>
      <c r="AX80" s="5" t="s">
        <v>458</v>
      </c>
      <c r="AY80" s="5" t="s">
        <v>458</v>
      </c>
      <c r="AZ80" s="5" t="s">
        <v>458</v>
      </c>
      <c r="BA80" s="5" t="s">
        <v>458</v>
      </c>
      <c r="BB80" s="5" t="s">
        <v>458</v>
      </c>
      <c r="BC80" s="5" t="s">
        <v>458</v>
      </c>
      <c r="BD80" s="5" t="s">
        <v>458</v>
      </c>
      <c r="BE80" s="5"/>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row>
    <row r="81" spans="1:100" x14ac:dyDescent="0.2">
      <c r="A81" s="21">
        <v>16</v>
      </c>
      <c r="B81" s="29" t="s">
        <v>350</v>
      </c>
      <c r="C81" s="29" t="s">
        <v>29</v>
      </c>
      <c r="D81" s="5">
        <v>10</v>
      </c>
      <c r="E81" s="5" t="s">
        <v>458</v>
      </c>
      <c r="F81" s="5" t="s">
        <v>458</v>
      </c>
      <c r="G81" s="5" t="s">
        <v>458</v>
      </c>
      <c r="H81" s="5" t="s">
        <v>458</v>
      </c>
      <c r="I81" s="5" t="s">
        <v>458</v>
      </c>
      <c r="J81" s="5" t="s">
        <v>458</v>
      </c>
      <c r="K81" s="5" t="s">
        <v>458</v>
      </c>
      <c r="L81" s="5" t="s">
        <v>458</v>
      </c>
      <c r="M81" s="5" t="s">
        <v>458</v>
      </c>
      <c r="N81" s="5" t="s">
        <v>458</v>
      </c>
      <c r="O81" s="5" t="s">
        <v>458</v>
      </c>
      <c r="P81" s="5" t="s">
        <v>458</v>
      </c>
      <c r="Q81" s="5" t="s">
        <v>458</v>
      </c>
      <c r="R81" s="5" t="s">
        <v>458</v>
      </c>
      <c r="S81" s="5" t="s">
        <v>458</v>
      </c>
      <c r="T81" s="5" t="s">
        <v>458</v>
      </c>
      <c r="U81" s="5" t="s">
        <v>458</v>
      </c>
      <c r="V81" s="5" t="s">
        <v>458</v>
      </c>
      <c r="W81" s="5" t="s">
        <v>458</v>
      </c>
      <c r="X81" s="5" t="s">
        <v>458</v>
      </c>
      <c r="Y81" s="5" t="s">
        <v>458</v>
      </c>
      <c r="Z81" s="5" t="s">
        <v>458</v>
      </c>
      <c r="AA81" s="5" t="s">
        <v>458</v>
      </c>
      <c r="AB81" s="5" t="s">
        <v>458</v>
      </c>
      <c r="AC81" s="5" t="s">
        <v>458</v>
      </c>
      <c r="AD81" s="5" t="s">
        <v>458</v>
      </c>
      <c r="AE81" s="5" t="s">
        <v>458</v>
      </c>
      <c r="AF81" s="5" t="s">
        <v>458</v>
      </c>
      <c r="AG81" s="5" t="s">
        <v>458</v>
      </c>
      <c r="AH81" s="5" t="s">
        <v>458</v>
      </c>
      <c r="AI81" s="5" t="s">
        <v>458</v>
      </c>
      <c r="AJ81" s="5" t="s">
        <v>458</v>
      </c>
      <c r="AK81" s="5" t="s">
        <v>458</v>
      </c>
      <c r="AL81" s="5" t="s">
        <v>458</v>
      </c>
      <c r="AM81" s="5" t="s">
        <v>458</v>
      </c>
      <c r="AN81" s="5" t="s">
        <v>458</v>
      </c>
      <c r="AO81" s="5" t="s">
        <v>458</v>
      </c>
      <c r="AP81" s="5" t="s">
        <v>458</v>
      </c>
      <c r="AQ81" s="5" t="s">
        <v>458</v>
      </c>
      <c r="AR81" s="5" t="s">
        <v>458</v>
      </c>
      <c r="AS81" s="5" t="s">
        <v>458</v>
      </c>
      <c r="AT81" s="5" t="s">
        <v>458</v>
      </c>
      <c r="AU81" s="5" t="s">
        <v>458</v>
      </c>
      <c r="AV81" s="5" t="s">
        <v>458</v>
      </c>
      <c r="AW81" s="5" t="s">
        <v>458</v>
      </c>
      <c r="AX81" s="5" t="s">
        <v>458</v>
      </c>
      <c r="AY81" s="5" t="s">
        <v>458</v>
      </c>
      <c r="AZ81" s="5" t="s">
        <v>458</v>
      </c>
      <c r="BA81" s="5" t="s">
        <v>458</v>
      </c>
      <c r="BB81" s="5" t="s">
        <v>458</v>
      </c>
      <c r="BC81" s="5" t="s">
        <v>458</v>
      </c>
      <c r="BD81" s="5" t="s">
        <v>458</v>
      </c>
      <c r="BE81" s="5"/>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row>
    <row r="82" spans="1:100" x14ac:dyDescent="0.2">
      <c r="A82" s="8">
        <v>16</v>
      </c>
      <c r="B82" s="8" t="s">
        <v>351</v>
      </c>
      <c r="C82" s="8" t="s">
        <v>29</v>
      </c>
      <c r="D82" s="5">
        <v>52</v>
      </c>
      <c r="E82" s="5" t="s">
        <v>458</v>
      </c>
      <c r="F82" s="5" t="s">
        <v>458</v>
      </c>
      <c r="G82" s="5" t="s">
        <v>458</v>
      </c>
      <c r="H82" s="5" t="s">
        <v>458</v>
      </c>
      <c r="I82" s="5" t="s">
        <v>458</v>
      </c>
      <c r="J82" s="5" t="s">
        <v>458</v>
      </c>
      <c r="K82" s="5" t="s">
        <v>458</v>
      </c>
      <c r="L82" s="5" t="s">
        <v>458</v>
      </c>
      <c r="M82" s="5" t="s">
        <v>458</v>
      </c>
      <c r="N82" s="5" t="s">
        <v>458</v>
      </c>
      <c r="O82" s="5" t="s">
        <v>458</v>
      </c>
      <c r="P82" s="5" t="s">
        <v>458</v>
      </c>
      <c r="Q82" s="5" t="s">
        <v>458</v>
      </c>
      <c r="R82" s="5" t="s">
        <v>458</v>
      </c>
      <c r="S82" s="5" t="s">
        <v>458</v>
      </c>
      <c r="T82" s="5" t="s">
        <v>458</v>
      </c>
      <c r="U82" s="5" t="s">
        <v>458</v>
      </c>
      <c r="V82" s="5" t="s">
        <v>458</v>
      </c>
      <c r="W82" s="5" t="s">
        <v>458</v>
      </c>
      <c r="X82" s="5" t="s">
        <v>458</v>
      </c>
      <c r="Y82" s="5" t="s">
        <v>458</v>
      </c>
      <c r="Z82" s="5" t="s">
        <v>458</v>
      </c>
      <c r="AA82" s="5" t="s">
        <v>458</v>
      </c>
      <c r="AB82" s="5" t="s">
        <v>458</v>
      </c>
      <c r="AC82" s="5" t="s">
        <v>458</v>
      </c>
      <c r="AD82" s="5" t="s">
        <v>458</v>
      </c>
      <c r="AE82" s="5" t="s">
        <v>458</v>
      </c>
      <c r="AF82" s="5" t="s">
        <v>458</v>
      </c>
      <c r="AG82" s="5" t="s">
        <v>458</v>
      </c>
      <c r="AH82" s="5" t="s">
        <v>458</v>
      </c>
      <c r="AI82" s="5" t="s">
        <v>458</v>
      </c>
      <c r="AJ82" s="5" t="s">
        <v>458</v>
      </c>
      <c r="AK82" s="5" t="s">
        <v>458</v>
      </c>
      <c r="AL82" s="5" t="s">
        <v>458</v>
      </c>
      <c r="AM82" s="5" t="s">
        <v>458</v>
      </c>
      <c r="AN82" s="5" t="s">
        <v>458</v>
      </c>
      <c r="AO82" s="5" t="s">
        <v>458</v>
      </c>
      <c r="AP82" s="5" t="s">
        <v>458</v>
      </c>
      <c r="AQ82" s="5" t="s">
        <v>458</v>
      </c>
      <c r="AR82" s="5" t="s">
        <v>458</v>
      </c>
      <c r="AS82" s="5" t="s">
        <v>458</v>
      </c>
      <c r="AT82" s="5" t="s">
        <v>458</v>
      </c>
      <c r="AU82" s="5" t="s">
        <v>458</v>
      </c>
      <c r="AV82" s="5" t="s">
        <v>458</v>
      </c>
      <c r="AW82" s="5" t="s">
        <v>458</v>
      </c>
      <c r="AX82" s="5" t="s">
        <v>458</v>
      </c>
      <c r="AY82" s="5" t="s">
        <v>458</v>
      </c>
      <c r="AZ82" s="5" t="s">
        <v>458</v>
      </c>
      <c r="BA82" s="5" t="s">
        <v>458</v>
      </c>
      <c r="BB82" s="5" t="s">
        <v>458</v>
      </c>
      <c r="BC82" s="5" t="s">
        <v>458</v>
      </c>
      <c r="BD82" s="5" t="s">
        <v>458</v>
      </c>
      <c r="BE82" s="5"/>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row>
    <row r="83" spans="1:100" x14ac:dyDescent="0.2">
      <c r="A83" s="21">
        <v>16</v>
      </c>
      <c r="B83" s="29" t="s">
        <v>352</v>
      </c>
      <c r="C83" s="29" t="s">
        <v>68</v>
      </c>
      <c r="D83" s="5">
        <v>18</v>
      </c>
      <c r="E83" s="5" t="s">
        <v>458</v>
      </c>
      <c r="F83" s="5" t="s">
        <v>458</v>
      </c>
      <c r="G83" s="5" t="s">
        <v>458</v>
      </c>
      <c r="H83" s="5" t="s">
        <v>458</v>
      </c>
      <c r="I83" s="5" t="s">
        <v>458</v>
      </c>
      <c r="J83" s="5" t="s">
        <v>458</v>
      </c>
      <c r="K83" s="5" t="s">
        <v>458</v>
      </c>
      <c r="L83" s="5" t="s">
        <v>458</v>
      </c>
      <c r="M83" s="5" t="s">
        <v>458</v>
      </c>
      <c r="N83" s="5" t="s">
        <v>458</v>
      </c>
      <c r="O83" s="5" t="s">
        <v>458</v>
      </c>
      <c r="P83" s="5" t="s">
        <v>458</v>
      </c>
      <c r="Q83" s="5" t="s">
        <v>458</v>
      </c>
      <c r="R83" s="5" t="s">
        <v>458</v>
      </c>
      <c r="S83" s="5" t="s">
        <v>458</v>
      </c>
      <c r="T83" s="5" t="s">
        <v>458</v>
      </c>
      <c r="U83" s="5" t="s">
        <v>458</v>
      </c>
      <c r="V83" s="5" t="s">
        <v>458</v>
      </c>
      <c r="W83" s="5" t="s">
        <v>458</v>
      </c>
      <c r="X83" s="5" t="s">
        <v>458</v>
      </c>
      <c r="Y83" s="5" t="s">
        <v>458</v>
      </c>
      <c r="Z83" s="5" t="s">
        <v>458</v>
      </c>
      <c r="AA83" s="5" t="s">
        <v>458</v>
      </c>
      <c r="AB83" s="5" t="s">
        <v>458</v>
      </c>
      <c r="AC83" s="5" t="s">
        <v>458</v>
      </c>
      <c r="AD83" s="5" t="s">
        <v>458</v>
      </c>
      <c r="AE83" s="5" t="s">
        <v>458</v>
      </c>
      <c r="AF83" s="5" t="s">
        <v>458</v>
      </c>
      <c r="AG83" s="5" t="s">
        <v>458</v>
      </c>
      <c r="AH83" s="5" t="s">
        <v>458</v>
      </c>
      <c r="AI83" s="5" t="s">
        <v>458</v>
      </c>
      <c r="AJ83" s="5" t="s">
        <v>458</v>
      </c>
      <c r="AK83" s="5" t="s">
        <v>458</v>
      </c>
      <c r="AL83" s="5" t="s">
        <v>458</v>
      </c>
      <c r="AM83" s="5" t="s">
        <v>458</v>
      </c>
      <c r="AN83" s="5" t="s">
        <v>458</v>
      </c>
      <c r="AO83" s="5" t="s">
        <v>458</v>
      </c>
      <c r="AP83" s="5" t="s">
        <v>458</v>
      </c>
      <c r="AQ83" s="5" t="s">
        <v>458</v>
      </c>
      <c r="AR83" s="5" t="s">
        <v>458</v>
      </c>
      <c r="AS83" s="5" t="s">
        <v>458</v>
      </c>
      <c r="AT83" s="5" t="s">
        <v>458</v>
      </c>
      <c r="AU83" s="5" t="s">
        <v>458</v>
      </c>
      <c r="AV83" s="5" t="s">
        <v>458</v>
      </c>
      <c r="AW83" s="5" t="s">
        <v>458</v>
      </c>
      <c r="AX83" s="5" t="s">
        <v>458</v>
      </c>
      <c r="AY83" s="5" t="s">
        <v>458</v>
      </c>
      <c r="AZ83" s="5" t="s">
        <v>458</v>
      </c>
      <c r="BA83" s="5" t="s">
        <v>458</v>
      </c>
      <c r="BB83" s="5" t="s">
        <v>458</v>
      </c>
      <c r="BC83" s="5" t="s">
        <v>458</v>
      </c>
      <c r="BD83" s="5" t="s">
        <v>458</v>
      </c>
      <c r="BE83" s="5"/>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row>
    <row r="84" spans="1:100" x14ac:dyDescent="0.2">
      <c r="A84" s="21">
        <v>16</v>
      </c>
      <c r="B84" s="29" t="s">
        <v>353</v>
      </c>
      <c r="C84" s="29" t="s">
        <v>68</v>
      </c>
      <c r="D84" s="5">
        <v>15</v>
      </c>
      <c r="E84" s="5" t="s">
        <v>458</v>
      </c>
      <c r="F84" s="5" t="s">
        <v>458</v>
      </c>
      <c r="G84" s="5" t="s">
        <v>458</v>
      </c>
      <c r="H84" s="5" t="s">
        <v>458</v>
      </c>
      <c r="I84" s="5" t="s">
        <v>458</v>
      </c>
      <c r="J84" s="5" t="s">
        <v>458</v>
      </c>
      <c r="K84" s="5" t="s">
        <v>458</v>
      </c>
      <c r="L84" s="5" t="s">
        <v>458</v>
      </c>
      <c r="M84" s="5" t="s">
        <v>458</v>
      </c>
      <c r="N84" s="5" t="s">
        <v>458</v>
      </c>
      <c r="O84" s="5" t="s">
        <v>458</v>
      </c>
      <c r="P84" s="5" t="s">
        <v>458</v>
      </c>
      <c r="Q84" s="5" t="s">
        <v>458</v>
      </c>
      <c r="R84" s="5" t="s">
        <v>458</v>
      </c>
      <c r="S84" s="5" t="s">
        <v>458</v>
      </c>
      <c r="T84" s="5" t="s">
        <v>458</v>
      </c>
      <c r="U84" s="5" t="s">
        <v>458</v>
      </c>
      <c r="V84" s="5" t="s">
        <v>458</v>
      </c>
      <c r="W84" s="5" t="s">
        <v>458</v>
      </c>
      <c r="X84" s="5" t="s">
        <v>458</v>
      </c>
      <c r="Y84" s="5" t="s">
        <v>458</v>
      </c>
      <c r="Z84" s="5" t="s">
        <v>458</v>
      </c>
      <c r="AA84" s="5" t="s">
        <v>458</v>
      </c>
      <c r="AB84" s="5" t="s">
        <v>458</v>
      </c>
      <c r="AC84" s="5" t="s">
        <v>458</v>
      </c>
      <c r="AD84" s="5" t="s">
        <v>458</v>
      </c>
      <c r="AE84" s="5" t="s">
        <v>458</v>
      </c>
      <c r="AF84" s="5" t="s">
        <v>458</v>
      </c>
      <c r="AG84" s="5" t="s">
        <v>458</v>
      </c>
      <c r="AH84" s="5" t="s">
        <v>458</v>
      </c>
      <c r="AI84" s="5" t="s">
        <v>458</v>
      </c>
      <c r="AJ84" s="5" t="s">
        <v>458</v>
      </c>
      <c r="AK84" s="5" t="s">
        <v>458</v>
      </c>
      <c r="AL84" s="5" t="s">
        <v>458</v>
      </c>
      <c r="AM84" s="5" t="s">
        <v>458</v>
      </c>
      <c r="AN84" s="5" t="s">
        <v>458</v>
      </c>
      <c r="AO84" s="5" t="s">
        <v>458</v>
      </c>
      <c r="AP84" s="5" t="s">
        <v>458</v>
      </c>
      <c r="AQ84" s="5" t="s">
        <v>458</v>
      </c>
      <c r="AR84" s="5" t="s">
        <v>458</v>
      </c>
      <c r="AS84" s="5" t="s">
        <v>458</v>
      </c>
      <c r="AT84" s="5" t="s">
        <v>458</v>
      </c>
      <c r="AU84" s="5" t="s">
        <v>458</v>
      </c>
      <c r="AV84" s="5" t="s">
        <v>458</v>
      </c>
      <c r="AW84" s="5" t="s">
        <v>458</v>
      </c>
      <c r="AX84" s="5" t="s">
        <v>458</v>
      </c>
      <c r="AY84" s="5" t="s">
        <v>458</v>
      </c>
      <c r="AZ84" s="5" t="s">
        <v>458</v>
      </c>
      <c r="BA84" s="5" t="s">
        <v>458</v>
      </c>
      <c r="BB84" s="5" t="s">
        <v>458</v>
      </c>
      <c r="BC84" s="5" t="s">
        <v>458</v>
      </c>
      <c r="BD84" s="5" t="s">
        <v>458</v>
      </c>
      <c r="BE84" s="5"/>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row>
    <row r="85" spans="1:100" x14ac:dyDescent="0.2">
      <c r="A85" s="21">
        <v>16</v>
      </c>
      <c r="B85" s="29" t="s">
        <v>354</v>
      </c>
      <c r="C85" s="29" t="s">
        <v>68</v>
      </c>
      <c r="D85" s="5">
        <v>57</v>
      </c>
      <c r="E85" s="5" t="s">
        <v>458</v>
      </c>
      <c r="F85" s="5" t="s">
        <v>458</v>
      </c>
      <c r="G85" s="5" t="s">
        <v>458</v>
      </c>
      <c r="H85" s="5" t="s">
        <v>458</v>
      </c>
      <c r="I85" s="5" t="s">
        <v>458</v>
      </c>
      <c r="J85" s="5" t="s">
        <v>458</v>
      </c>
      <c r="K85" s="5" t="s">
        <v>458</v>
      </c>
      <c r="L85" s="5" t="s">
        <v>458</v>
      </c>
      <c r="M85" s="5" t="s">
        <v>458</v>
      </c>
      <c r="N85" s="5" t="s">
        <v>458</v>
      </c>
      <c r="O85" s="5" t="s">
        <v>458</v>
      </c>
      <c r="P85" s="5" t="s">
        <v>458</v>
      </c>
      <c r="Q85" s="5" t="s">
        <v>458</v>
      </c>
      <c r="R85" s="5" t="s">
        <v>458</v>
      </c>
      <c r="S85" s="5" t="s">
        <v>458</v>
      </c>
      <c r="T85" s="5" t="s">
        <v>458</v>
      </c>
      <c r="U85" s="5" t="s">
        <v>458</v>
      </c>
      <c r="V85" s="5" t="s">
        <v>458</v>
      </c>
      <c r="W85" s="5" t="s">
        <v>458</v>
      </c>
      <c r="X85" s="5" t="s">
        <v>458</v>
      </c>
      <c r="Y85" s="5" t="s">
        <v>458</v>
      </c>
      <c r="Z85" s="5" t="s">
        <v>458</v>
      </c>
      <c r="AA85" s="5" t="s">
        <v>458</v>
      </c>
      <c r="AB85" s="5" t="s">
        <v>458</v>
      </c>
      <c r="AC85" s="5" t="s">
        <v>458</v>
      </c>
      <c r="AD85" s="5" t="s">
        <v>458</v>
      </c>
      <c r="AE85" s="5" t="s">
        <v>458</v>
      </c>
      <c r="AF85" s="5" t="s">
        <v>458</v>
      </c>
      <c r="AG85" s="5" t="s">
        <v>458</v>
      </c>
      <c r="AH85" s="5" t="s">
        <v>458</v>
      </c>
      <c r="AI85" s="5" t="s">
        <v>458</v>
      </c>
      <c r="AJ85" s="5" t="s">
        <v>458</v>
      </c>
      <c r="AK85" s="5" t="s">
        <v>458</v>
      </c>
      <c r="AL85" s="5" t="s">
        <v>458</v>
      </c>
      <c r="AM85" s="5" t="s">
        <v>458</v>
      </c>
      <c r="AN85" s="5" t="s">
        <v>458</v>
      </c>
      <c r="AO85" s="5" t="s">
        <v>458</v>
      </c>
      <c r="AP85" s="5" t="s">
        <v>458</v>
      </c>
      <c r="AQ85" s="5" t="s">
        <v>458</v>
      </c>
      <c r="AR85" s="5" t="s">
        <v>458</v>
      </c>
      <c r="AS85" s="5" t="s">
        <v>458</v>
      </c>
      <c r="AT85" s="5" t="s">
        <v>458</v>
      </c>
      <c r="AU85" s="5" t="s">
        <v>458</v>
      </c>
      <c r="AV85" s="5" t="s">
        <v>458</v>
      </c>
      <c r="AW85" s="5" t="s">
        <v>458</v>
      </c>
      <c r="AX85" s="5" t="s">
        <v>458</v>
      </c>
      <c r="AY85" s="5" t="s">
        <v>458</v>
      </c>
      <c r="AZ85" s="5" t="s">
        <v>458</v>
      </c>
      <c r="BA85" s="5" t="s">
        <v>458</v>
      </c>
      <c r="BB85" s="5" t="s">
        <v>458</v>
      </c>
      <c r="BC85" s="5" t="s">
        <v>458</v>
      </c>
      <c r="BD85" s="5" t="s">
        <v>458</v>
      </c>
      <c r="BE85" s="5"/>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row>
    <row r="86" spans="1:100" x14ac:dyDescent="0.2">
      <c r="A86" s="8">
        <v>16</v>
      </c>
      <c r="B86" s="8" t="s">
        <v>355</v>
      </c>
      <c r="C86" s="8" t="s">
        <v>69</v>
      </c>
      <c r="D86" s="5">
        <v>17</v>
      </c>
      <c r="E86" s="5" t="s">
        <v>458</v>
      </c>
      <c r="F86" s="5" t="s">
        <v>458</v>
      </c>
      <c r="G86" s="5" t="s">
        <v>458</v>
      </c>
      <c r="H86" s="5" t="s">
        <v>458</v>
      </c>
      <c r="I86" s="5" t="s">
        <v>458</v>
      </c>
      <c r="J86" s="5" t="s">
        <v>458</v>
      </c>
      <c r="K86" s="5" t="s">
        <v>458</v>
      </c>
      <c r="L86" s="5" t="s">
        <v>458</v>
      </c>
      <c r="M86" s="5" t="s">
        <v>458</v>
      </c>
      <c r="N86" s="5" t="s">
        <v>458</v>
      </c>
      <c r="O86" s="5" t="s">
        <v>458</v>
      </c>
      <c r="P86" s="5" t="s">
        <v>458</v>
      </c>
      <c r="Q86" s="5" t="s">
        <v>458</v>
      </c>
      <c r="R86" s="5" t="s">
        <v>458</v>
      </c>
      <c r="S86" s="5" t="s">
        <v>458</v>
      </c>
      <c r="T86" s="5" t="s">
        <v>458</v>
      </c>
      <c r="U86" s="5" t="s">
        <v>458</v>
      </c>
      <c r="V86" s="5" t="s">
        <v>458</v>
      </c>
      <c r="W86" s="5" t="s">
        <v>458</v>
      </c>
      <c r="X86" s="5" t="s">
        <v>458</v>
      </c>
      <c r="Y86" s="5" t="s">
        <v>458</v>
      </c>
      <c r="Z86" s="5" t="s">
        <v>458</v>
      </c>
      <c r="AA86" s="5" t="s">
        <v>458</v>
      </c>
      <c r="AB86" s="5" t="s">
        <v>458</v>
      </c>
      <c r="AC86" s="5" t="s">
        <v>458</v>
      </c>
      <c r="AD86" s="5" t="s">
        <v>458</v>
      </c>
      <c r="AE86" s="5" t="s">
        <v>458</v>
      </c>
      <c r="AF86" s="5" t="s">
        <v>458</v>
      </c>
      <c r="AG86" s="5" t="s">
        <v>458</v>
      </c>
      <c r="AH86" s="5" t="s">
        <v>458</v>
      </c>
      <c r="AI86" s="5" t="s">
        <v>458</v>
      </c>
      <c r="AJ86" s="5" t="s">
        <v>458</v>
      </c>
      <c r="AK86" s="5" t="s">
        <v>458</v>
      </c>
      <c r="AL86" s="5" t="s">
        <v>458</v>
      </c>
      <c r="AM86" s="5" t="s">
        <v>458</v>
      </c>
      <c r="AN86" s="5" t="s">
        <v>458</v>
      </c>
      <c r="AO86" s="5" t="s">
        <v>458</v>
      </c>
      <c r="AP86" s="5" t="s">
        <v>458</v>
      </c>
      <c r="AQ86" s="5" t="s">
        <v>458</v>
      </c>
      <c r="AR86" s="5" t="s">
        <v>458</v>
      </c>
      <c r="AS86" s="5" t="s">
        <v>458</v>
      </c>
      <c r="AT86" s="5" t="s">
        <v>458</v>
      </c>
      <c r="AU86" s="5" t="s">
        <v>458</v>
      </c>
      <c r="AV86" s="5" t="s">
        <v>458</v>
      </c>
      <c r="AW86" s="5" t="s">
        <v>458</v>
      </c>
      <c r="AX86" s="5" t="s">
        <v>458</v>
      </c>
      <c r="AY86" s="5" t="s">
        <v>458</v>
      </c>
      <c r="AZ86" s="5" t="s">
        <v>458</v>
      </c>
      <c r="BA86" s="5" t="s">
        <v>458</v>
      </c>
      <c r="BB86" s="5" t="s">
        <v>458</v>
      </c>
      <c r="BC86" s="5" t="s">
        <v>458</v>
      </c>
      <c r="BD86" s="5" t="s">
        <v>458</v>
      </c>
      <c r="BE86" s="5"/>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row>
    <row r="87" spans="1:100" x14ac:dyDescent="0.2">
      <c r="A87" s="21">
        <v>16</v>
      </c>
      <c r="B87" s="29" t="s">
        <v>356</v>
      </c>
      <c r="C87" s="8" t="s">
        <v>69</v>
      </c>
      <c r="D87" s="5">
        <v>14</v>
      </c>
      <c r="E87" s="5" t="s">
        <v>458</v>
      </c>
      <c r="F87" s="5" t="s">
        <v>458</v>
      </c>
      <c r="G87" s="5" t="s">
        <v>458</v>
      </c>
      <c r="H87" s="5" t="s">
        <v>458</v>
      </c>
      <c r="I87" s="5" t="s">
        <v>458</v>
      </c>
      <c r="J87" s="5" t="s">
        <v>458</v>
      </c>
      <c r="K87" s="5" t="s">
        <v>458</v>
      </c>
      <c r="L87" s="5" t="s">
        <v>458</v>
      </c>
      <c r="M87" s="5" t="s">
        <v>458</v>
      </c>
      <c r="N87" s="5" t="s">
        <v>458</v>
      </c>
      <c r="O87" s="5" t="s">
        <v>458</v>
      </c>
      <c r="P87" s="5" t="s">
        <v>458</v>
      </c>
      <c r="Q87" s="5" t="s">
        <v>458</v>
      </c>
      <c r="R87" s="5" t="s">
        <v>458</v>
      </c>
      <c r="S87" s="5" t="s">
        <v>458</v>
      </c>
      <c r="T87" s="5" t="s">
        <v>458</v>
      </c>
      <c r="U87" s="5" t="s">
        <v>458</v>
      </c>
      <c r="V87" s="5" t="s">
        <v>458</v>
      </c>
      <c r="W87" s="5" t="s">
        <v>458</v>
      </c>
      <c r="X87" s="5" t="s">
        <v>458</v>
      </c>
      <c r="Y87" s="5" t="s">
        <v>458</v>
      </c>
      <c r="Z87" s="5" t="s">
        <v>458</v>
      </c>
      <c r="AA87" s="5" t="s">
        <v>458</v>
      </c>
      <c r="AB87" s="5" t="s">
        <v>458</v>
      </c>
      <c r="AC87" s="5" t="s">
        <v>458</v>
      </c>
      <c r="AD87" s="5" t="s">
        <v>458</v>
      </c>
      <c r="AE87" s="5" t="s">
        <v>458</v>
      </c>
      <c r="AF87" s="5" t="s">
        <v>458</v>
      </c>
      <c r="AG87" s="5" t="s">
        <v>458</v>
      </c>
      <c r="AH87" s="5" t="s">
        <v>458</v>
      </c>
      <c r="AI87" s="5" t="s">
        <v>458</v>
      </c>
      <c r="AJ87" s="5" t="s">
        <v>458</v>
      </c>
      <c r="AK87" s="5" t="s">
        <v>458</v>
      </c>
      <c r="AL87" s="5" t="s">
        <v>458</v>
      </c>
      <c r="AM87" s="5" t="s">
        <v>458</v>
      </c>
      <c r="AN87" s="5" t="s">
        <v>458</v>
      </c>
      <c r="AO87" s="5" t="s">
        <v>458</v>
      </c>
      <c r="AP87" s="5" t="s">
        <v>458</v>
      </c>
      <c r="AQ87" s="5" t="s">
        <v>458</v>
      </c>
      <c r="AR87" s="5" t="s">
        <v>458</v>
      </c>
      <c r="AS87" s="5" t="s">
        <v>458</v>
      </c>
      <c r="AT87" s="5" t="s">
        <v>458</v>
      </c>
      <c r="AU87" s="5" t="s">
        <v>458</v>
      </c>
      <c r="AV87" s="5" t="s">
        <v>458</v>
      </c>
      <c r="AW87" s="5" t="s">
        <v>458</v>
      </c>
      <c r="AX87" s="5" t="s">
        <v>458</v>
      </c>
      <c r="AY87" s="5" t="s">
        <v>458</v>
      </c>
      <c r="AZ87" s="5" t="s">
        <v>458</v>
      </c>
      <c r="BA87" s="5" t="s">
        <v>458</v>
      </c>
      <c r="BB87" s="5" t="s">
        <v>458</v>
      </c>
      <c r="BC87" s="5" t="s">
        <v>458</v>
      </c>
      <c r="BD87" s="5" t="s">
        <v>458</v>
      </c>
      <c r="BE87" s="5"/>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row>
    <row r="88" spans="1:100" x14ac:dyDescent="0.2">
      <c r="A88" s="21">
        <v>16</v>
      </c>
      <c r="B88" s="29" t="s">
        <v>357</v>
      </c>
      <c r="C88" s="8" t="s">
        <v>69</v>
      </c>
      <c r="D88" s="5">
        <v>55</v>
      </c>
      <c r="E88" s="5" t="s">
        <v>458</v>
      </c>
      <c r="F88" s="5" t="s">
        <v>458</v>
      </c>
      <c r="G88" s="5" t="s">
        <v>458</v>
      </c>
      <c r="H88" s="5" t="s">
        <v>458</v>
      </c>
      <c r="I88" s="5" t="s">
        <v>458</v>
      </c>
      <c r="J88" s="5" t="s">
        <v>458</v>
      </c>
      <c r="K88" s="5" t="s">
        <v>458</v>
      </c>
      <c r="L88" s="5" t="s">
        <v>458</v>
      </c>
      <c r="M88" s="5" t="s">
        <v>458</v>
      </c>
      <c r="N88" s="5" t="s">
        <v>458</v>
      </c>
      <c r="O88" s="5" t="s">
        <v>458</v>
      </c>
      <c r="P88" s="5" t="s">
        <v>458</v>
      </c>
      <c r="Q88" s="5" t="s">
        <v>458</v>
      </c>
      <c r="R88" s="5" t="s">
        <v>458</v>
      </c>
      <c r="S88" s="5" t="s">
        <v>458</v>
      </c>
      <c r="T88" s="5" t="s">
        <v>458</v>
      </c>
      <c r="U88" s="5" t="s">
        <v>458</v>
      </c>
      <c r="V88" s="5" t="s">
        <v>458</v>
      </c>
      <c r="W88" s="5" t="s">
        <v>458</v>
      </c>
      <c r="X88" s="5" t="s">
        <v>458</v>
      </c>
      <c r="Y88" s="5" t="s">
        <v>458</v>
      </c>
      <c r="Z88" s="5" t="s">
        <v>458</v>
      </c>
      <c r="AA88" s="5" t="s">
        <v>458</v>
      </c>
      <c r="AB88" s="5" t="s">
        <v>458</v>
      </c>
      <c r="AC88" s="5" t="s">
        <v>458</v>
      </c>
      <c r="AD88" s="5" t="s">
        <v>458</v>
      </c>
      <c r="AE88" s="5" t="s">
        <v>458</v>
      </c>
      <c r="AF88" s="5" t="s">
        <v>458</v>
      </c>
      <c r="AG88" s="5" t="s">
        <v>458</v>
      </c>
      <c r="AH88" s="5" t="s">
        <v>458</v>
      </c>
      <c r="AI88" s="5" t="s">
        <v>458</v>
      </c>
      <c r="AJ88" s="5" t="s">
        <v>458</v>
      </c>
      <c r="AK88" s="5" t="s">
        <v>458</v>
      </c>
      <c r="AL88" s="5" t="s">
        <v>458</v>
      </c>
      <c r="AM88" s="5" t="s">
        <v>458</v>
      </c>
      <c r="AN88" s="5" t="s">
        <v>458</v>
      </c>
      <c r="AO88" s="5" t="s">
        <v>458</v>
      </c>
      <c r="AP88" s="5" t="s">
        <v>458</v>
      </c>
      <c r="AQ88" s="5" t="s">
        <v>458</v>
      </c>
      <c r="AR88" s="5" t="s">
        <v>458</v>
      </c>
      <c r="AS88" s="5" t="s">
        <v>458</v>
      </c>
      <c r="AT88" s="5" t="s">
        <v>458</v>
      </c>
      <c r="AU88" s="5" t="s">
        <v>458</v>
      </c>
      <c r="AV88" s="5" t="s">
        <v>458</v>
      </c>
      <c r="AW88" s="5" t="s">
        <v>458</v>
      </c>
      <c r="AX88" s="5" t="s">
        <v>458</v>
      </c>
      <c r="AY88" s="5" t="s">
        <v>458</v>
      </c>
      <c r="AZ88" s="5" t="s">
        <v>458</v>
      </c>
      <c r="BA88" s="5" t="s">
        <v>458</v>
      </c>
      <c r="BB88" s="5" t="s">
        <v>458</v>
      </c>
      <c r="BC88" s="5" t="s">
        <v>458</v>
      </c>
      <c r="BD88" s="5" t="s">
        <v>458</v>
      </c>
      <c r="BE88" s="5"/>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row>
    <row r="89" spans="1:100" x14ac:dyDescent="0.2">
      <c r="A89" s="21">
        <v>16</v>
      </c>
      <c r="B89" s="29" t="s">
        <v>358</v>
      </c>
      <c r="C89" s="8" t="s">
        <v>70</v>
      </c>
      <c r="D89" s="5">
        <v>39</v>
      </c>
      <c r="E89" s="5" t="s">
        <v>458</v>
      </c>
      <c r="F89" s="5" t="s">
        <v>458</v>
      </c>
      <c r="G89" s="5" t="s">
        <v>458</v>
      </c>
      <c r="H89" s="5" t="s">
        <v>458</v>
      </c>
      <c r="I89" s="5" t="s">
        <v>458</v>
      </c>
      <c r="J89" s="5" t="s">
        <v>458</v>
      </c>
      <c r="K89" s="5" t="s">
        <v>458</v>
      </c>
      <c r="L89" s="5" t="s">
        <v>458</v>
      </c>
      <c r="M89" s="5" t="s">
        <v>458</v>
      </c>
      <c r="N89" s="5" t="s">
        <v>458</v>
      </c>
      <c r="O89" s="5" t="s">
        <v>458</v>
      </c>
      <c r="P89" s="5" t="s">
        <v>458</v>
      </c>
      <c r="Q89" s="5" t="s">
        <v>458</v>
      </c>
      <c r="R89" s="5" t="s">
        <v>458</v>
      </c>
      <c r="S89" s="5" t="s">
        <v>458</v>
      </c>
      <c r="T89" s="5" t="s">
        <v>458</v>
      </c>
      <c r="U89" s="5" t="s">
        <v>458</v>
      </c>
      <c r="V89" s="5" t="s">
        <v>458</v>
      </c>
      <c r="W89" s="5" t="s">
        <v>458</v>
      </c>
      <c r="X89" s="5" t="s">
        <v>458</v>
      </c>
      <c r="Y89" s="5" t="s">
        <v>458</v>
      </c>
      <c r="Z89" s="5" t="s">
        <v>458</v>
      </c>
      <c r="AA89" s="5" t="s">
        <v>458</v>
      </c>
      <c r="AB89" s="5" t="s">
        <v>458</v>
      </c>
      <c r="AC89" s="5" t="s">
        <v>458</v>
      </c>
      <c r="AD89" s="5" t="s">
        <v>458</v>
      </c>
      <c r="AE89" s="5" t="s">
        <v>458</v>
      </c>
      <c r="AF89" s="5" t="s">
        <v>458</v>
      </c>
      <c r="AG89" s="5" t="s">
        <v>458</v>
      </c>
      <c r="AH89" s="5" t="s">
        <v>458</v>
      </c>
      <c r="AI89" s="5" t="s">
        <v>458</v>
      </c>
      <c r="AJ89" s="5" t="s">
        <v>458</v>
      </c>
      <c r="AK89" s="5" t="s">
        <v>458</v>
      </c>
      <c r="AL89" s="5" t="s">
        <v>458</v>
      </c>
      <c r="AM89" s="5" t="s">
        <v>458</v>
      </c>
      <c r="AN89" s="5" t="s">
        <v>458</v>
      </c>
      <c r="AO89" s="5" t="s">
        <v>458</v>
      </c>
      <c r="AP89" s="5" t="s">
        <v>458</v>
      </c>
      <c r="AQ89" s="5" t="s">
        <v>458</v>
      </c>
      <c r="AR89" s="5" t="s">
        <v>458</v>
      </c>
      <c r="AS89" s="5" t="s">
        <v>458</v>
      </c>
      <c r="AT89" s="5" t="s">
        <v>458</v>
      </c>
      <c r="AU89" s="5" t="s">
        <v>458</v>
      </c>
      <c r="AV89" s="5" t="s">
        <v>458</v>
      </c>
      <c r="AW89" s="5" t="s">
        <v>458</v>
      </c>
      <c r="AX89" s="5" t="s">
        <v>458</v>
      </c>
      <c r="AY89" s="5" t="s">
        <v>458</v>
      </c>
      <c r="AZ89" s="5" t="s">
        <v>458</v>
      </c>
      <c r="BA89" s="5" t="s">
        <v>458</v>
      </c>
      <c r="BB89" s="5" t="s">
        <v>458</v>
      </c>
      <c r="BC89" s="5" t="s">
        <v>458</v>
      </c>
      <c r="BD89" s="5" t="s">
        <v>458</v>
      </c>
      <c r="BE89" s="5"/>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row>
    <row r="90" spans="1:100" x14ac:dyDescent="0.2">
      <c r="A90" s="21">
        <v>16</v>
      </c>
      <c r="B90" s="29" t="s">
        <v>359</v>
      </c>
      <c r="C90" s="8" t="s">
        <v>70</v>
      </c>
      <c r="D90" s="5">
        <v>22</v>
      </c>
      <c r="E90" s="5" t="s">
        <v>458</v>
      </c>
      <c r="F90" s="5" t="s">
        <v>458</v>
      </c>
      <c r="G90" s="5" t="s">
        <v>458</v>
      </c>
      <c r="H90" s="5" t="s">
        <v>458</v>
      </c>
      <c r="I90" s="5" t="s">
        <v>458</v>
      </c>
      <c r="J90" s="5" t="s">
        <v>458</v>
      </c>
      <c r="K90" s="5" t="s">
        <v>458</v>
      </c>
      <c r="L90" s="5" t="s">
        <v>458</v>
      </c>
      <c r="M90" s="5" t="s">
        <v>458</v>
      </c>
      <c r="N90" s="5" t="s">
        <v>458</v>
      </c>
      <c r="O90" s="5" t="s">
        <v>458</v>
      </c>
      <c r="P90" s="5" t="s">
        <v>458</v>
      </c>
      <c r="Q90" s="5" t="s">
        <v>458</v>
      </c>
      <c r="R90" s="5" t="s">
        <v>458</v>
      </c>
      <c r="S90" s="5" t="s">
        <v>458</v>
      </c>
      <c r="T90" s="5" t="s">
        <v>458</v>
      </c>
      <c r="U90" s="5" t="s">
        <v>458</v>
      </c>
      <c r="V90" s="5" t="s">
        <v>458</v>
      </c>
      <c r="W90" s="5" t="s">
        <v>458</v>
      </c>
      <c r="X90" s="5" t="s">
        <v>458</v>
      </c>
      <c r="Y90" s="5" t="s">
        <v>458</v>
      </c>
      <c r="Z90" s="5" t="s">
        <v>458</v>
      </c>
      <c r="AA90" s="5" t="s">
        <v>458</v>
      </c>
      <c r="AB90" s="5" t="s">
        <v>458</v>
      </c>
      <c r="AC90" s="5" t="s">
        <v>458</v>
      </c>
      <c r="AD90" s="5" t="s">
        <v>458</v>
      </c>
      <c r="AE90" s="5" t="s">
        <v>458</v>
      </c>
      <c r="AF90" s="5" t="s">
        <v>458</v>
      </c>
      <c r="AG90" s="5" t="s">
        <v>458</v>
      </c>
      <c r="AH90" s="5" t="s">
        <v>458</v>
      </c>
      <c r="AI90" s="5" t="s">
        <v>458</v>
      </c>
      <c r="AJ90" s="5" t="s">
        <v>458</v>
      </c>
      <c r="AK90" s="5" t="s">
        <v>458</v>
      </c>
      <c r="AL90" s="5" t="s">
        <v>458</v>
      </c>
      <c r="AM90" s="5" t="s">
        <v>458</v>
      </c>
      <c r="AN90" s="5" t="s">
        <v>458</v>
      </c>
      <c r="AO90" s="5" t="s">
        <v>458</v>
      </c>
      <c r="AP90" s="5" t="s">
        <v>458</v>
      </c>
      <c r="AQ90" s="5" t="s">
        <v>458</v>
      </c>
      <c r="AR90" s="5" t="s">
        <v>458</v>
      </c>
      <c r="AS90" s="5" t="s">
        <v>458</v>
      </c>
      <c r="AT90" s="5" t="s">
        <v>458</v>
      </c>
      <c r="AU90" s="5" t="s">
        <v>458</v>
      </c>
      <c r="AV90" s="5" t="s">
        <v>458</v>
      </c>
      <c r="AW90" s="5" t="s">
        <v>458</v>
      </c>
      <c r="AX90" s="5" t="s">
        <v>458</v>
      </c>
      <c r="AY90" s="5" t="s">
        <v>458</v>
      </c>
      <c r="AZ90" s="5" t="s">
        <v>458</v>
      </c>
      <c r="BA90" s="5" t="s">
        <v>458</v>
      </c>
      <c r="BB90" s="5" t="s">
        <v>458</v>
      </c>
      <c r="BC90" s="5" t="s">
        <v>458</v>
      </c>
      <c r="BD90" s="5" t="s">
        <v>458</v>
      </c>
      <c r="BE90" s="5"/>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row>
    <row r="91" spans="1:100" s="18" customFormat="1" x14ac:dyDescent="0.2">
      <c r="A91" s="23">
        <v>16</v>
      </c>
      <c r="B91" s="30" t="s">
        <v>360</v>
      </c>
      <c r="C91" s="342" t="s">
        <v>70</v>
      </c>
      <c r="D91" s="19">
        <v>60</v>
      </c>
      <c r="E91" s="19" t="s">
        <v>458</v>
      </c>
      <c r="F91" s="19" t="s">
        <v>458</v>
      </c>
      <c r="G91" s="19" t="s">
        <v>458</v>
      </c>
      <c r="H91" s="19" t="s">
        <v>458</v>
      </c>
      <c r="I91" s="19" t="s">
        <v>458</v>
      </c>
      <c r="J91" s="19" t="s">
        <v>458</v>
      </c>
      <c r="K91" s="19" t="s">
        <v>458</v>
      </c>
      <c r="L91" s="19" t="s">
        <v>458</v>
      </c>
      <c r="M91" s="19" t="s">
        <v>458</v>
      </c>
      <c r="N91" s="19" t="s">
        <v>458</v>
      </c>
      <c r="O91" s="19" t="s">
        <v>458</v>
      </c>
      <c r="P91" s="19" t="s">
        <v>458</v>
      </c>
      <c r="Q91" s="19" t="s">
        <v>458</v>
      </c>
      <c r="R91" s="19" t="s">
        <v>458</v>
      </c>
      <c r="S91" s="19" t="s">
        <v>458</v>
      </c>
      <c r="T91" s="19" t="s">
        <v>458</v>
      </c>
      <c r="U91" s="19" t="s">
        <v>458</v>
      </c>
      <c r="V91" s="19" t="s">
        <v>458</v>
      </c>
      <c r="W91" s="19" t="s">
        <v>458</v>
      </c>
      <c r="X91" s="19" t="s">
        <v>458</v>
      </c>
      <c r="Y91" s="19" t="s">
        <v>458</v>
      </c>
      <c r="Z91" s="19" t="s">
        <v>458</v>
      </c>
      <c r="AA91" s="19" t="s">
        <v>458</v>
      </c>
      <c r="AB91" s="19" t="s">
        <v>458</v>
      </c>
      <c r="AC91" s="19" t="s">
        <v>458</v>
      </c>
      <c r="AD91" s="19" t="s">
        <v>458</v>
      </c>
      <c r="AE91" s="19" t="s">
        <v>458</v>
      </c>
      <c r="AF91" s="19" t="s">
        <v>458</v>
      </c>
      <c r="AG91" s="19" t="s">
        <v>458</v>
      </c>
      <c r="AH91" s="19" t="s">
        <v>458</v>
      </c>
      <c r="AI91" s="19" t="s">
        <v>458</v>
      </c>
      <c r="AJ91" s="19" t="s">
        <v>458</v>
      </c>
      <c r="AK91" s="19" t="s">
        <v>458</v>
      </c>
      <c r="AL91" s="19" t="s">
        <v>458</v>
      </c>
      <c r="AM91" s="19" t="s">
        <v>458</v>
      </c>
      <c r="AN91" s="19" t="s">
        <v>458</v>
      </c>
      <c r="AO91" s="19" t="s">
        <v>458</v>
      </c>
      <c r="AP91" s="19" t="s">
        <v>458</v>
      </c>
      <c r="AQ91" s="19" t="s">
        <v>458</v>
      </c>
      <c r="AR91" s="19" t="s">
        <v>458</v>
      </c>
      <c r="AS91" s="19" t="s">
        <v>458</v>
      </c>
      <c r="AT91" s="19" t="s">
        <v>458</v>
      </c>
      <c r="AU91" s="19" t="s">
        <v>458</v>
      </c>
      <c r="AV91" s="19" t="s">
        <v>458</v>
      </c>
      <c r="AW91" s="19" t="s">
        <v>458</v>
      </c>
      <c r="AX91" s="19" t="s">
        <v>458</v>
      </c>
      <c r="AY91" s="19" t="s">
        <v>458</v>
      </c>
      <c r="AZ91" s="19" t="s">
        <v>458</v>
      </c>
      <c r="BA91" s="19" t="s">
        <v>458</v>
      </c>
      <c r="BB91" s="19" t="s">
        <v>458</v>
      </c>
      <c r="BC91" s="19" t="s">
        <v>458</v>
      </c>
      <c r="BD91" s="19" t="s">
        <v>458</v>
      </c>
      <c r="BE91" s="19"/>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row>
    <row r="92" spans="1:100" x14ac:dyDescent="0.2">
      <c r="A92" s="21">
        <v>18</v>
      </c>
      <c r="B92" s="29" t="s">
        <v>361</v>
      </c>
      <c r="C92" s="8" t="s">
        <v>50</v>
      </c>
      <c r="D92" s="5">
        <v>5.7142900000000001</v>
      </c>
      <c r="E92" s="5">
        <v>6.8907600000000002</v>
      </c>
      <c r="F92" s="5">
        <v>7.3949600000000002</v>
      </c>
      <c r="G92" s="5">
        <v>8.5714299999999994</v>
      </c>
      <c r="H92" s="5">
        <v>10.08404</v>
      </c>
      <c r="I92" s="5">
        <v>11.42858</v>
      </c>
      <c r="J92" s="5">
        <v>13.109249999999999</v>
      </c>
      <c r="K92" s="5">
        <v>14.78992</v>
      </c>
      <c r="L92" s="5">
        <v>15.79832</v>
      </c>
      <c r="M92" s="5">
        <v>17.142859999999999</v>
      </c>
      <c r="N92" s="5">
        <v>18.15127</v>
      </c>
      <c r="O92" s="5">
        <v>18.991599999999998</v>
      </c>
      <c r="P92" s="5">
        <v>19.663869999999999</v>
      </c>
      <c r="Q92" s="5" t="s">
        <v>458</v>
      </c>
      <c r="R92" s="5" t="s">
        <v>458</v>
      </c>
      <c r="S92" s="5" t="s">
        <v>458</v>
      </c>
      <c r="T92" s="5" t="s">
        <v>458</v>
      </c>
      <c r="U92" s="5" t="s">
        <v>458</v>
      </c>
      <c r="V92" s="5" t="s">
        <v>458</v>
      </c>
      <c r="W92" s="5" t="s">
        <v>458</v>
      </c>
      <c r="X92" s="5" t="s">
        <v>458</v>
      </c>
      <c r="Y92" s="5" t="s">
        <v>458</v>
      </c>
      <c r="Z92" s="5" t="s">
        <v>458</v>
      </c>
      <c r="AA92" s="5" t="s">
        <v>458</v>
      </c>
      <c r="AB92" s="5" t="s">
        <v>458</v>
      </c>
      <c r="AC92" s="5" t="s">
        <v>458</v>
      </c>
      <c r="AD92" s="5" t="s">
        <v>458</v>
      </c>
      <c r="AE92" s="5" t="s">
        <v>458</v>
      </c>
      <c r="AF92" s="5" t="s">
        <v>458</v>
      </c>
      <c r="AG92" s="5" t="s">
        <v>458</v>
      </c>
      <c r="AH92" s="5" t="s">
        <v>458</v>
      </c>
      <c r="AI92" s="5" t="s">
        <v>458</v>
      </c>
      <c r="AJ92" s="5" t="s">
        <v>458</v>
      </c>
      <c r="AK92" s="5" t="s">
        <v>458</v>
      </c>
      <c r="AL92" s="5" t="s">
        <v>458</v>
      </c>
      <c r="AM92" s="5" t="s">
        <v>458</v>
      </c>
      <c r="AN92" s="5" t="s">
        <v>458</v>
      </c>
      <c r="AO92" s="5" t="s">
        <v>458</v>
      </c>
      <c r="AP92" s="5" t="s">
        <v>458</v>
      </c>
      <c r="AQ92" s="5" t="s">
        <v>458</v>
      </c>
      <c r="AR92" s="5" t="s">
        <v>458</v>
      </c>
      <c r="AS92" s="5" t="s">
        <v>458</v>
      </c>
      <c r="AT92" s="5" t="s">
        <v>458</v>
      </c>
      <c r="AU92" s="5" t="s">
        <v>458</v>
      </c>
      <c r="AV92" s="5" t="s">
        <v>458</v>
      </c>
      <c r="AW92" s="5" t="s">
        <v>458</v>
      </c>
      <c r="AX92" s="5" t="s">
        <v>458</v>
      </c>
      <c r="AY92" s="5" t="s">
        <v>458</v>
      </c>
      <c r="AZ92" s="5" t="s">
        <v>458</v>
      </c>
      <c r="BA92" s="5" t="s">
        <v>458</v>
      </c>
      <c r="BB92" s="5" t="s">
        <v>458</v>
      </c>
      <c r="BC92" s="5" t="s">
        <v>458</v>
      </c>
      <c r="BD92" s="5" t="s">
        <v>458</v>
      </c>
      <c r="BE92" s="5"/>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row>
    <row r="93" spans="1:100" x14ac:dyDescent="0.2">
      <c r="A93" s="21">
        <v>18</v>
      </c>
      <c r="B93" s="29" t="s">
        <v>362</v>
      </c>
      <c r="C93" s="8" t="s">
        <v>71</v>
      </c>
      <c r="D93" s="5">
        <v>25.210080000000001</v>
      </c>
      <c r="E93" s="5">
        <v>32.100839999999998</v>
      </c>
      <c r="F93" s="5">
        <v>39.663870000000003</v>
      </c>
      <c r="G93" s="5">
        <v>47.058819999999997</v>
      </c>
      <c r="H93" s="5">
        <v>52.773110000000003</v>
      </c>
      <c r="I93" s="5">
        <v>57.98319</v>
      </c>
      <c r="J93" s="5">
        <v>62.689079999999997</v>
      </c>
      <c r="K93" s="5">
        <v>67.899159999999995</v>
      </c>
      <c r="L93" s="5">
        <v>73.949579999999997</v>
      </c>
      <c r="M93" s="5">
        <v>80</v>
      </c>
      <c r="N93" s="5">
        <v>82.857140000000001</v>
      </c>
      <c r="O93" s="5">
        <v>86.050420000000003</v>
      </c>
      <c r="P93" s="5">
        <v>89.915959999999998</v>
      </c>
      <c r="Q93" s="5">
        <v>93.10924</v>
      </c>
      <c r="R93" s="5">
        <v>94.453779999999995</v>
      </c>
      <c r="S93" s="5">
        <v>97.478989999999996</v>
      </c>
      <c r="T93" s="5">
        <v>98.151259999999994</v>
      </c>
      <c r="U93" s="5">
        <v>98.151259999999994</v>
      </c>
      <c r="V93" s="5">
        <v>98.655460000000005</v>
      </c>
      <c r="W93" s="5">
        <v>98.991600000000005</v>
      </c>
      <c r="X93" s="5">
        <v>99.495800000000003</v>
      </c>
      <c r="Y93" s="5">
        <v>100.33613</v>
      </c>
      <c r="Z93" s="5">
        <v>100.16807</v>
      </c>
      <c r="AA93" s="5">
        <v>100.16807</v>
      </c>
      <c r="AB93" s="5" t="s">
        <v>458</v>
      </c>
      <c r="AC93" s="5" t="s">
        <v>458</v>
      </c>
      <c r="AD93" s="5" t="s">
        <v>458</v>
      </c>
      <c r="AE93" s="5" t="s">
        <v>458</v>
      </c>
      <c r="AF93" s="5" t="s">
        <v>458</v>
      </c>
      <c r="AG93" s="5" t="s">
        <v>458</v>
      </c>
      <c r="AH93" s="5" t="s">
        <v>458</v>
      </c>
      <c r="AI93" s="5" t="s">
        <v>458</v>
      </c>
      <c r="AJ93" s="5" t="s">
        <v>458</v>
      </c>
      <c r="AK93" s="5" t="s">
        <v>458</v>
      </c>
      <c r="AL93" s="5" t="s">
        <v>458</v>
      </c>
      <c r="AM93" s="5" t="s">
        <v>458</v>
      </c>
      <c r="AN93" s="5" t="s">
        <v>458</v>
      </c>
      <c r="AO93" s="5" t="s">
        <v>458</v>
      </c>
      <c r="AP93" s="5" t="s">
        <v>458</v>
      </c>
      <c r="AQ93" s="5" t="s">
        <v>458</v>
      </c>
      <c r="AR93" s="5" t="s">
        <v>458</v>
      </c>
      <c r="AS93" s="5" t="s">
        <v>458</v>
      </c>
      <c r="AT93" s="5" t="s">
        <v>458</v>
      </c>
      <c r="AU93" s="5" t="s">
        <v>458</v>
      </c>
      <c r="AV93" s="5" t="s">
        <v>458</v>
      </c>
      <c r="AW93" s="5" t="s">
        <v>458</v>
      </c>
      <c r="AX93" s="5" t="s">
        <v>458</v>
      </c>
      <c r="AY93" s="5" t="s">
        <v>458</v>
      </c>
      <c r="AZ93" s="5" t="s">
        <v>458</v>
      </c>
      <c r="BA93" s="5" t="s">
        <v>458</v>
      </c>
      <c r="BB93" s="5" t="s">
        <v>458</v>
      </c>
      <c r="BC93" s="5" t="s">
        <v>458</v>
      </c>
      <c r="BD93" s="5" t="s">
        <v>458</v>
      </c>
      <c r="BE93" s="5"/>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row>
    <row r="94" spans="1:100" x14ac:dyDescent="0.2">
      <c r="A94" s="21">
        <v>18</v>
      </c>
      <c r="B94" s="29" t="s">
        <v>363</v>
      </c>
      <c r="C94" s="8" t="s">
        <v>72</v>
      </c>
      <c r="D94" s="5">
        <v>22.689080000000001</v>
      </c>
      <c r="E94" s="5">
        <v>28.7395</v>
      </c>
      <c r="F94" s="5">
        <v>36.134450000000001</v>
      </c>
      <c r="G94" s="5">
        <v>42.35295</v>
      </c>
      <c r="H94" s="5">
        <v>48.235289999999999</v>
      </c>
      <c r="I94" s="5">
        <v>55.630249999999997</v>
      </c>
      <c r="J94" s="5">
        <v>62.857140000000001</v>
      </c>
      <c r="K94" s="5">
        <v>66.386560000000003</v>
      </c>
      <c r="L94" s="5">
        <v>73.949579999999997</v>
      </c>
      <c r="M94" s="5">
        <v>76.806719999999999</v>
      </c>
      <c r="N94" s="5">
        <v>81.008399999999995</v>
      </c>
      <c r="O94" s="5">
        <v>85.042019999999994</v>
      </c>
      <c r="P94" s="5">
        <v>89.075630000000004</v>
      </c>
      <c r="Q94" s="5">
        <v>91.764700000000005</v>
      </c>
      <c r="R94" s="5">
        <v>95.126050000000006</v>
      </c>
      <c r="S94" s="5">
        <v>95.630250000000004</v>
      </c>
      <c r="T94" s="5">
        <v>96.470590000000001</v>
      </c>
      <c r="U94" s="5">
        <v>96.470590000000001</v>
      </c>
      <c r="V94" s="5">
        <v>97.142859999999999</v>
      </c>
      <c r="W94" s="5">
        <v>97.310919999999996</v>
      </c>
      <c r="X94" s="5">
        <v>97.983189999999993</v>
      </c>
      <c r="Y94" s="5">
        <v>98.991600000000005</v>
      </c>
      <c r="Z94" s="5">
        <v>99.159660000000002</v>
      </c>
      <c r="AA94" s="5">
        <v>99.495800000000003</v>
      </c>
      <c r="AB94" s="5">
        <v>99.327730000000003</v>
      </c>
      <c r="AC94" s="5">
        <v>99.495800000000003</v>
      </c>
      <c r="AD94" s="5" t="s">
        <v>458</v>
      </c>
      <c r="AE94" s="5" t="s">
        <v>458</v>
      </c>
      <c r="AF94" s="5" t="s">
        <v>458</v>
      </c>
      <c r="AG94" s="5" t="s">
        <v>458</v>
      </c>
      <c r="AH94" s="5" t="s">
        <v>458</v>
      </c>
      <c r="AI94" s="5" t="s">
        <v>458</v>
      </c>
      <c r="AJ94" s="5" t="s">
        <v>458</v>
      </c>
      <c r="AK94" s="5" t="s">
        <v>458</v>
      </c>
      <c r="AL94" s="5" t="s">
        <v>458</v>
      </c>
      <c r="AM94" s="5" t="s">
        <v>458</v>
      </c>
      <c r="AN94" s="5" t="s">
        <v>458</v>
      </c>
      <c r="AO94" s="5" t="s">
        <v>458</v>
      </c>
      <c r="AP94" s="5" t="s">
        <v>458</v>
      </c>
      <c r="AQ94" s="5" t="s">
        <v>458</v>
      </c>
      <c r="AR94" s="5" t="s">
        <v>458</v>
      </c>
      <c r="AS94" s="5" t="s">
        <v>458</v>
      </c>
      <c r="AT94" s="5" t="s">
        <v>458</v>
      </c>
      <c r="AU94" s="5" t="s">
        <v>458</v>
      </c>
      <c r="AV94" s="5" t="s">
        <v>458</v>
      </c>
      <c r="AW94" s="5" t="s">
        <v>458</v>
      </c>
      <c r="AX94" s="5" t="s">
        <v>458</v>
      </c>
      <c r="AY94" s="5" t="s">
        <v>458</v>
      </c>
      <c r="AZ94" s="5" t="s">
        <v>458</v>
      </c>
      <c r="BA94" s="5" t="s">
        <v>458</v>
      </c>
      <c r="BB94" s="5" t="s">
        <v>458</v>
      </c>
      <c r="BC94" s="5" t="s">
        <v>458</v>
      </c>
      <c r="BD94" s="5" t="s">
        <v>458</v>
      </c>
      <c r="BE94" s="5"/>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row>
    <row r="95" spans="1:100" x14ac:dyDescent="0.2">
      <c r="A95" s="21">
        <v>18</v>
      </c>
      <c r="B95" s="29" t="s">
        <v>364</v>
      </c>
      <c r="C95" s="8" t="s">
        <v>73</v>
      </c>
      <c r="D95" s="5">
        <v>28.403369999999999</v>
      </c>
      <c r="E95" s="5">
        <v>36.302529999999997</v>
      </c>
      <c r="F95" s="5">
        <v>44.873950000000001</v>
      </c>
      <c r="G95" s="5">
        <v>47.058819999999997</v>
      </c>
      <c r="H95" s="5">
        <v>51.428579999999997</v>
      </c>
      <c r="I95" s="5">
        <v>54.957979999999999</v>
      </c>
      <c r="J95" s="5">
        <v>56.638660000000002</v>
      </c>
      <c r="K95" s="5">
        <v>60.16807</v>
      </c>
      <c r="L95" s="5">
        <v>62.857140000000001</v>
      </c>
      <c r="M95" s="5">
        <v>66.050420000000003</v>
      </c>
      <c r="N95" s="5">
        <v>68.739500000000007</v>
      </c>
      <c r="O95" s="5">
        <v>71.932770000000005</v>
      </c>
      <c r="P95" s="5">
        <v>73.44538</v>
      </c>
      <c r="Q95" s="5">
        <v>76.134450000000001</v>
      </c>
      <c r="R95" s="5">
        <v>78.319329999999994</v>
      </c>
      <c r="S95" s="5">
        <v>81.008399999999995</v>
      </c>
      <c r="T95" s="5">
        <v>82.184870000000004</v>
      </c>
      <c r="U95" s="5">
        <v>84.873949999999994</v>
      </c>
      <c r="V95" s="5">
        <v>87.899159999999995</v>
      </c>
      <c r="W95" s="5">
        <v>90.252099999999999</v>
      </c>
      <c r="X95" s="5">
        <v>92.605040000000002</v>
      </c>
      <c r="Y95" s="5">
        <v>94.453779999999995</v>
      </c>
      <c r="Z95" s="5">
        <v>96.470590000000001</v>
      </c>
      <c r="AA95" s="5" t="s">
        <v>458</v>
      </c>
      <c r="AB95" s="5" t="s">
        <v>458</v>
      </c>
      <c r="AC95" s="5" t="s">
        <v>458</v>
      </c>
      <c r="AD95" s="5" t="s">
        <v>458</v>
      </c>
      <c r="AE95" s="5" t="s">
        <v>458</v>
      </c>
      <c r="AF95" s="5" t="s">
        <v>458</v>
      </c>
      <c r="AG95" s="5" t="s">
        <v>458</v>
      </c>
      <c r="AH95" s="5" t="s">
        <v>458</v>
      </c>
      <c r="AI95" s="5" t="s">
        <v>458</v>
      </c>
      <c r="AJ95" s="5" t="s">
        <v>458</v>
      </c>
      <c r="AK95" s="5" t="s">
        <v>458</v>
      </c>
      <c r="AL95" s="5" t="s">
        <v>458</v>
      </c>
      <c r="AM95" s="5" t="s">
        <v>458</v>
      </c>
      <c r="AN95" s="5" t="s">
        <v>458</v>
      </c>
      <c r="AO95" s="5" t="s">
        <v>458</v>
      </c>
      <c r="AP95" s="5" t="s">
        <v>458</v>
      </c>
      <c r="AQ95" s="5" t="s">
        <v>458</v>
      </c>
      <c r="AR95" s="5" t="s">
        <v>458</v>
      </c>
      <c r="AS95" s="5" t="s">
        <v>458</v>
      </c>
      <c r="AT95" s="5" t="s">
        <v>458</v>
      </c>
      <c r="AU95" s="5" t="s">
        <v>458</v>
      </c>
      <c r="AV95" s="5" t="s">
        <v>458</v>
      </c>
      <c r="AW95" s="5" t="s">
        <v>458</v>
      </c>
      <c r="AX95" s="5" t="s">
        <v>458</v>
      </c>
      <c r="AY95" s="5" t="s">
        <v>458</v>
      </c>
      <c r="AZ95" s="5" t="s">
        <v>458</v>
      </c>
      <c r="BA95" s="5" t="s">
        <v>458</v>
      </c>
      <c r="BB95" s="5" t="s">
        <v>458</v>
      </c>
      <c r="BC95" s="5" t="s">
        <v>458</v>
      </c>
      <c r="BD95" s="5" t="s">
        <v>458</v>
      </c>
      <c r="BE95" s="5"/>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row>
    <row r="96" spans="1:100" x14ac:dyDescent="0.2">
      <c r="A96" s="21">
        <v>18</v>
      </c>
      <c r="B96" s="29" t="s">
        <v>349</v>
      </c>
      <c r="C96" s="8" t="s">
        <v>74</v>
      </c>
      <c r="D96" s="5">
        <v>21.008410000000001</v>
      </c>
      <c r="E96" s="5">
        <v>25.546220000000002</v>
      </c>
      <c r="F96" s="5">
        <v>33.277320000000003</v>
      </c>
      <c r="G96" s="5">
        <v>35.294119999999999</v>
      </c>
      <c r="H96" s="5">
        <v>37.647060000000003</v>
      </c>
      <c r="I96" s="5">
        <v>42.184869999999997</v>
      </c>
      <c r="J96" s="5">
        <v>50.924370000000003</v>
      </c>
      <c r="K96" s="5">
        <v>55.966389999999997</v>
      </c>
      <c r="L96" s="5">
        <v>59.83193</v>
      </c>
      <c r="M96" s="5">
        <v>64.873949999999994</v>
      </c>
      <c r="N96" s="5">
        <v>72.436980000000005</v>
      </c>
      <c r="O96" s="5">
        <v>75.462190000000007</v>
      </c>
      <c r="P96" s="5">
        <v>77.142859999999999</v>
      </c>
      <c r="Q96" s="5">
        <v>79.327730000000003</v>
      </c>
      <c r="R96" s="5">
        <v>80.33614</v>
      </c>
      <c r="S96" s="5">
        <v>82.521010000000004</v>
      </c>
      <c r="T96" s="5">
        <v>84.369749999999996</v>
      </c>
      <c r="U96" s="5">
        <v>86.55462</v>
      </c>
      <c r="V96" s="5">
        <v>88.403360000000006</v>
      </c>
      <c r="W96" s="5">
        <v>89.915959999999998</v>
      </c>
      <c r="X96" s="5">
        <v>91.428569999999993</v>
      </c>
      <c r="Y96" s="5">
        <v>93.27731</v>
      </c>
      <c r="Z96" s="5" t="s">
        <v>458</v>
      </c>
      <c r="AA96" s="5" t="s">
        <v>458</v>
      </c>
      <c r="AB96" s="5" t="s">
        <v>458</v>
      </c>
      <c r="AC96" s="5" t="s">
        <v>458</v>
      </c>
      <c r="AD96" s="5" t="s">
        <v>458</v>
      </c>
      <c r="AE96" s="5" t="s">
        <v>458</v>
      </c>
      <c r="AF96" s="5" t="s">
        <v>458</v>
      </c>
      <c r="AG96" s="5" t="s">
        <v>458</v>
      </c>
      <c r="AH96" s="5" t="s">
        <v>458</v>
      </c>
      <c r="AI96" s="5" t="s">
        <v>458</v>
      </c>
      <c r="AJ96" s="5" t="s">
        <v>458</v>
      </c>
      <c r="AK96" s="5" t="s">
        <v>458</v>
      </c>
      <c r="AL96" s="5" t="s">
        <v>458</v>
      </c>
      <c r="AM96" s="5" t="s">
        <v>458</v>
      </c>
      <c r="AN96" s="5" t="s">
        <v>458</v>
      </c>
      <c r="AO96" s="5" t="s">
        <v>458</v>
      </c>
      <c r="AP96" s="5" t="s">
        <v>458</v>
      </c>
      <c r="AQ96" s="5" t="s">
        <v>458</v>
      </c>
      <c r="AR96" s="5" t="s">
        <v>458</v>
      </c>
      <c r="AS96" s="5" t="s">
        <v>458</v>
      </c>
      <c r="AT96" s="5" t="s">
        <v>458</v>
      </c>
      <c r="AU96" s="5" t="s">
        <v>458</v>
      </c>
      <c r="AV96" s="5" t="s">
        <v>458</v>
      </c>
      <c r="AW96" s="5" t="s">
        <v>458</v>
      </c>
      <c r="AX96" s="5" t="s">
        <v>458</v>
      </c>
      <c r="AY96" s="5" t="s">
        <v>458</v>
      </c>
      <c r="AZ96" s="5" t="s">
        <v>458</v>
      </c>
      <c r="BA96" s="5" t="s">
        <v>458</v>
      </c>
      <c r="BB96" s="5" t="s">
        <v>458</v>
      </c>
      <c r="BC96" s="5" t="s">
        <v>458</v>
      </c>
      <c r="BD96" s="5" t="s">
        <v>458</v>
      </c>
      <c r="BE96" s="5"/>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row>
    <row r="97" spans="1:100" x14ac:dyDescent="0.2">
      <c r="A97" s="21">
        <v>18</v>
      </c>
      <c r="B97" s="29" t="s">
        <v>365</v>
      </c>
      <c r="C97" s="8" t="s">
        <v>50</v>
      </c>
      <c r="D97" s="5">
        <v>5.1056299999999997</v>
      </c>
      <c r="E97" s="5">
        <v>5.6338100000000004</v>
      </c>
      <c r="F97" s="5">
        <v>5.9859200000000001</v>
      </c>
      <c r="G97" s="5">
        <v>8.9788800000000002</v>
      </c>
      <c r="H97" s="5">
        <v>10.38733</v>
      </c>
      <c r="I97" s="5">
        <v>11.443659999999999</v>
      </c>
      <c r="J97" s="5">
        <v>14.43662</v>
      </c>
      <c r="K97" s="5">
        <v>17.781690000000001</v>
      </c>
      <c r="L97" s="5">
        <v>20.950700000000001</v>
      </c>
      <c r="M97" s="5">
        <v>23.415500000000002</v>
      </c>
      <c r="N97" s="5">
        <v>27.464790000000001</v>
      </c>
      <c r="O97" s="5">
        <v>30.281690000000001</v>
      </c>
      <c r="P97" s="5">
        <v>34.50705</v>
      </c>
      <c r="Q97" s="5">
        <v>37.5</v>
      </c>
      <c r="R97" s="5">
        <v>42.605629999999998</v>
      </c>
      <c r="S97" s="5" t="s">
        <v>458</v>
      </c>
      <c r="T97" s="5" t="s">
        <v>458</v>
      </c>
      <c r="U97" s="5" t="s">
        <v>458</v>
      </c>
      <c r="V97" s="5" t="s">
        <v>458</v>
      </c>
      <c r="W97" s="5" t="s">
        <v>458</v>
      </c>
      <c r="X97" s="5" t="s">
        <v>458</v>
      </c>
      <c r="Y97" s="5" t="s">
        <v>458</v>
      </c>
      <c r="Z97" s="5" t="s">
        <v>458</v>
      </c>
      <c r="AA97" s="5" t="s">
        <v>458</v>
      </c>
      <c r="AB97" s="5" t="s">
        <v>458</v>
      </c>
      <c r="AC97" s="5" t="s">
        <v>458</v>
      </c>
      <c r="AD97" s="5" t="s">
        <v>458</v>
      </c>
      <c r="AE97" s="5" t="s">
        <v>458</v>
      </c>
      <c r="AF97" s="5" t="s">
        <v>458</v>
      </c>
      <c r="AG97" s="5" t="s">
        <v>458</v>
      </c>
      <c r="AH97" s="5" t="s">
        <v>458</v>
      </c>
      <c r="AI97" s="5" t="s">
        <v>458</v>
      </c>
      <c r="AJ97" s="5" t="s">
        <v>458</v>
      </c>
      <c r="AK97" s="5" t="s">
        <v>458</v>
      </c>
      <c r="AL97" s="5" t="s">
        <v>458</v>
      </c>
      <c r="AM97" s="5" t="s">
        <v>458</v>
      </c>
      <c r="AN97" s="5" t="s">
        <v>458</v>
      </c>
      <c r="AO97" s="5" t="s">
        <v>458</v>
      </c>
      <c r="AP97" s="5" t="s">
        <v>458</v>
      </c>
      <c r="AQ97" s="5" t="s">
        <v>458</v>
      </c>
      <c r="AR97" s="5" t="s">
        <v>458</v>
      </c>
      <c r="AS97" s="5" t="s">
        <v>458</v>
      </c>
      <c r="AT97" s="5" t="s">
        <v>458</v>
      </c>
      <c r="AU97" s="5" t="s">
        <v>458</v>
      </c>
      <c r="AV97" s="5" t="s">
        <v>458</v>
      </c>
      <c r="AW97" s="5" t="s">
        <v>458</v>
      </c>
      <c r="AX97" s="5" t="s">
        <v>458</v>
      </c>
      <c r="AY97" s="5" t="s">
        <v>458</v>
      </c>
      <c r="AZ97" s="5" t="s">
        <v>458</v>
      </c>
      <c r="BA97" s="5" t="s">
        <v>458</v>
      </c>
      <c r="BB97" s="5" t="s">
        <v>458</v>
      </c>
      <c r="BC97" s="5" t="s">
        <v>458</v>
      </c>
      <c r="BD97" s="5" t="s">
        <v>458</v>
      </c>
      <c r="BE97" s="5"/>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row>
    <row r="98" spans="1:100" x14ac:dyDescent="0.2">
      <c r="A98" s="21">
        <v>18</v>
      </c>
      <c r="B98" s="29" t="s">
        <v>366</v>
      </c>
      <c r="C98" s="8" t="s">
        <v>71</v>
      </c>
      <c r="D98" s="5">
        <v>8.0985999999999994</v>
      </c>
      <c r="E98" s="5">
        <v>14.43662</v>
      </c>
      <c r="F98" s="5">
        <v>19.014089999999999</v>
      </c>
      <c r="G98" s="5">
        <v>24.64789</v>
      </c>
      <c r="H98" s="5">
        <v>28.16902</v>
      </c>
      <c r="I98" s="5">
        <v>32.746479999999998</v>
      </c>
      <c r="J98" s="5">
        <v>36.619720000000001</v>
      </c>
      <c r="K98" s="5">
        <v>41.725349999999999</v>
      </c>
      <c r="L98" s="5">
        <v>45.070419999999999</v>
      </c>
      <c r="M98" s="5">
        <v>49.119720000000001</v>
      </c>
      <c r="N98" s="5">
        <v>55.105640000000001</v>
      </c>
      <c r="O98" s="5">
        <v>58.626759999999997</v>
      </c>
      <c r="P98" s="5">
        <v>62.852110000000003</v>
      </c>
      <c r="Q98" s="5">
        <v>69.718310000000002</v>
      </c>
      <c r="R98" s="5">
        <v>72.359160000000003</v>
      </c>
      <c r="S98" s="5">
        <v>77.464789999999994</v>
      </c>
      <c r="T98" s="5">
        <v>79.577460000000002</v>
      </c>
      <c r="U98" s="5">
        <v>82.218310000000002</v>
      </c>
      <c r="V98" s="5">
        <v>83.978870000000001</v>
      </c>
      <c r="W98" s="5">
        <v>85.387320000000003</v>
      </c>
      <c r="X98" s="5">
        <v>88.204220000000007</v>
      </c>
      <c r="Y98" s="5">
        <v>92.077470000000005</v>
      </c>
      <c r="Z98" s="5">
        <v>92.605630000000005</v>
      </c>
      <c r="AA98" s="5">
        <v>93.133799999999994</v>
      </c>
      <c r="AB98" s="5">
        <v>93.133799999999994</v>
      </c>
      <c r="AC98" s="5">
        <v>93.661969999999997</v>
      </c>
      <c r="AD98" s="5">
        <v>94.014080000000007</v>
      </c>
      <c r="AE98" s="5">
        <v>94.366200000000006</v>
      </c>
      <c r="AF98" s="5">
        <v>95.070419999999999</v>
      </c>
      <c r="AG98" s="5">
        <v>95.070419999999999</v>
      </c>
      <c r="AH98" s="5">
        <v>95.950699999999998</v>
      </c>
      <c r="AI98" s="5">
        <v>96.830979999999997</v>
      </c>
      <c r="AJ98" s="5">
        <v>96.478870000000001</v>
      </c>
      <c r="AK98" s="5">
        <v>96.654929999999993</v>
      </c>
      <c r="AL98" s="5" t="s">
        <v>458</v>
      </c>
      <c r="AM98" s="5" t="s">
        <v>458</v>
      </c>
      <c r="AN98" s="5" t="s">
        <v>458</v>
      </c>
      <c r="AO98" s="5" t="s">
        <v>458</v>
      </c>
      <c r="AP98" s="5" t="s">
        <v>458</v>
      </c>
      <c r="AQ98" s="5" t="s">
        <v>458</v>
      </c>
      <c r="AR98" s="5" t="s">
        <v>458</v>
      </c>
      <c r="AS98" s="5" t="s">
        <v>458</v>
      </c>
      <c r="AT98" s="5" t="s">
        <v>458</v>
      </c>
      <c r="AU98" s="5" t="s">
        <v>458</v>
      </c>
      <c r="AV98" s="5" t="s">
        <v>458</v>
      </c>
      <c r="AW98" s="5" t="s">
        <v>458</v>
      </c>
      <c r="AX98" s="5" t="s">
        <v>458</v>
      </c>
      <c r="AY98" s="5" t="s">
        <v>458</v>
      </c>
      <c r="AZ98" s="5" t="s">
        <v>458</v>
      </c>
      <c r="BA98" s="5" t="s">
        <v>458</v>
      </c>
      <c r="BB98" s="5" t="s">
        <v>458</v>
      </c>
      <c r="BC98" s="5" t="s">
        <v>458</v>
      </c>
      <c r="BD98" s="5" t="s">
        <v>458</v>
      </c>
      <c r="BE98" s="5"/>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row>
    <row r="99" spans="1:100" x14ac:dyDescent="0.2">
      <c r="A99" s="21">
        <v>18</v>
      </c>
      <c r="B99" s="29" t="s">
        <v>367</v>
      </c>
      <c r="C99" s="8" t="s">
        <v>72</v>
      </c>
      <c r="D99" s="5">
        <v>33.802819999999997</v>
      </c>
      <c r="E99" s="5">
        <v>38.204230000000003</v>
      </c>
      <c r="F99" s="5">
        <v>42.429580000000001</v>
      </c>
      <c r="G99" s="5">
        <v>48.063380000000002</v>
      </c>
      <c r="H99" s="5">
        <v>52.64085</v>
      </c>
      <c r="I99" s="5">
        <v>57.922539999999998</v>
      </c>
      <c r="J99" s="5">
        <v>63.204230000000003</v>
      </c>
      <c r="K99" s="5">
        <v>67.253519999999995</v>
      </c>
      <c r="L99" s="5">
        <v>74.647890000000004</v>
      </c>
      <c r="M99" s="5">
        <v>78.873239999999996</v>
      </c>
      <c r="N99" s="5">
        <v>82.746480000000005</v>
      </c>
      <c r="O99" s="5">
        <v>89.788730000000001</v>
      </c>
      <c r="P99" s="5">
        <v>91.021119999999996</v>
      </c>
      <c r="Q99" s="5">
        <v>91.197180000000003</v>
      </c>
      <c r="R99" s="5">
        <v>92.429569999999998</v>
      </c>
      <c r="S99" s="5">
        <v>92.957750000000004</v>
      </c>
      <c r="T99" s="5">
        <v>93.133799999999994</v>
      </c>
      <c r="U99" s="5">
        <v>93.661969999999997</v>
      </c>
      <c r="V99" s="5">
        <v>94.542249999999996</v>
      </c>
      <c r="W99" s="5">
        <v>94.366200000000006</v>
      </c>
      <c r="X99" s="5" t="s">
        <v>458</v>
      </c>
      <c r="Y99" s="5" t="s">
        <v>458</v>
      </c>
      <c r="Z99" s="5" t="s">
        <v>458</v>
      </c>
      <c r="AA99" s="5" t="s">
        <v>458</v>
      </c>
      <c r="AB99" s="5" t="s">
        <v>458</v>
      </c>
      <c r="AC99" s="5" t="s">
        <v>458</v>
      </c>
      <c r="AD99" s="5" t="s">
        <v>458</v>
      </c>
      <c r="AE99" s="5" t="s">
        <v>458</v>
      </c>
      <c r="AF99" s="5" t="s">
        <v>458</v>
      </c>
      <c r="AG99" s="5" t="s">
        <v>458</v>
      </c>
      <c r="AH99" s="5" t="s">
        <v>458</v>
      </c>
      <c r="AI99" s="5" t="s">
        <v>458</v>
      </c>
      <c r="AJ99" s="5" t="s">
        <v>458</v>
      </c>
      <c r="AK99" s="5" t="s">
        <v>458</v>
      </c>
      <c r="AL99" s="5" t="s">
        <v>458</v>
      </c>
      <c r="AM99" s="5" t="s">
        <v>458</v>
      </c>
      <c r="AN99" s="5" t="s">
        <v>458</v>
      </c>
      <c r="AO99" s="5" t="s">
        <v>458</v>
      </c>
      <c r="AP99" s="5" t="s">
        <v>458</v>
      </c>
      <c r="AQ99" s="5" t="s">
        <v>458</v>
      </c>
      <c r="AR99" s="5" t="s">
        <v>458</v>
      </c>
      <c r="AS99" s="5" t="s">
        <v>458</v>
      </c>
      <c r="AT99" s="5" t="s">
        <v>458</v>
      </c>
      <c r="AU99" s="5" t="s">
        <v>458</v>
      </c>
      <c r="AV99" s="5" t="s">
        <v>458</v>
      </c>
      <c r="AW99" s="5" t="s">
        <v>458</v>
      </c>
      <c r="AX99" s="5" t="s">
        <v>458</v>
      </c>
      <c r="AY99" s="5" t="s">
        <v>458</v>
      </c>
      <c r="AZ99" s="5" t="s">
        <v>458</v>
      </c>
      <c r="BA99" s="5" t="s">
        <v>458</v>
      </c>
      <c r="BB99" s="5" t="s">
        <v>458</v>
      </c>
      <c r="BC99" s="5" t="s">
        <v>458</v>
      </c>
      <c r="BD99" s="5" t="s">
        <v>458</v>
      </c>
      <c r="BE99" s="5"/>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row>
    <row r="100" spans="1:100" x14ac:dyDescent="0.2">
      <c r="A100" s="21">
        <v>18</v>
      </c>
      <c r="B100" s="29" t="s">
        <v>368</v>
      </c>
      <c r="C100" s="8" t="s">
        <v>73</v>
      </c>
      <c r="D100" s="5">
        <v>20.422540000000001</v>
      </c>
      <c r="E100" s="5">
        <v>23.415500000000002</v>
      </c>
      <c r="F100" s="5">
        <v>26.936630000000001</v>
      </c>
      <c r="G100" s="5">
        <v>35.915489999999998</v>
      </c>
      <c r="H100" s="5">
        <v>43.661969999999997</v>
      </c>
      <c r="I100" s="5">
        <v>49.47184</v>
      </c>
      <c r="J100" s="5">
        <v>55.80986</v>
      </c>
      <c r="K100" s="5">
        <v>57.922539999999998</v>
      </c>
      <c r="L100" s="5">
        <v>59.683100000000003</v>
      </c>
      <c r="M100" s="5">
        <v>63.556339999999999</v>
      </c>
      <c r="N100" s="5">
        <v>66.197180000000003</v>
      </c>
      <c r="O100" s="5">
        <v>67.957750000000004</v>
      </c>
      <c r="P100" s="5">
        <v>69.542259999999999</v>
      </c>
      <c r="Q100" s="5">
        <v>70.950710000000001</v>
      </c>
      <c r="R100" s="5">
        <v>73.591549999999998</v>
      </c>
      <c r="S100" s="5">
        <v>75.176060000000007</v>
      </c>
      <c r="T100" s="5">
        <v>77.64085</v>
      </c>
      <c r="U100" s="5" t="s">
        <v>458</v>
      </c>
      <c r="V100" s="5" t="s">
        <v>458</v>
      </c>
      <c r="W100" s="5" t="s">
        <v>458</v>
      </c>
      <c r="X100" s="5" t="s">
        <v>458</v>
      </c>
      <c r="Y100" s="5" t="s">
        <v>458</v>
      </c>
      <c r="Z100" s="5" t="s">
        <v>458</v>
      </c>
      <c r="AA100" s="5" t="s">
        <v>458</v>
      </c>
      <c r="AB100" s="5" t="s">
        <v>458</v>
      </c>
      <c r="AC100" s="5" t="s">
        <v>458</v>
      </c>
      <c r="AD100" s="5" t="s">
        <v>458</v>
      </c>
      <c r="AE100" s="5" t="s">
        <v>458</v>
      </c>
      <c r="AF100" s="5" t="s">
        <v>458</v>
      </c>
      <c r="AG100" s="5" t="s">
        <v>458</v>
      </c>
      <c r="AH100" s="5" t="s">
        <v>458</v>
      </c>
      <c r="AI100" s="5" t="s">
        <v>458</v>
      </c>
      <c r="AJ100" s="5" t="s">
        <v>458</v>
      </c>
      <c r="AK100" s="5" t="s">
        <v>458</v>
      </c>
      <c r="AL100" s="5" t="s">
        <v>458</v>
      </c>
      <c r="AM100" s="5" t="s">
        <v>458</v>
      </c>
      <c r="AN100" s="5" t="s">
        <v>458</v>
      </c>
      <c r="AO100" s="5" t="s">
        <v>458</v>
      </c>
      <c r="AP100" s="5" t="s">
        <v>458</v>
      </c>
      <c r="AQ100" s="5" t="s">
        <v>458</v>
      </c>
      <c r="AR100" s="5" t="s">
        <v>458</v>
      </c>
      <c r="AS100" s="5" t="s">
        <v>458</v>
      </c>
      <c r="AT100" s="5" t="s">
        <v>458</v>
      </c>
      <c r="AU100" s="5" t="s">
        <v>458</v>
      </c>
      <c r="AV100" s="5" t="s">
        <v>458</v>
      </c>
      <c r="AW100" s="5" t="s">
        <v>458</v>
      </c>
      <c r="AX100" s="5" t="s">
        <v>458</v>
      </c>
      <c r="AY100" s="5" t="s">
        <v>458</v>
      </c>
      <c r="AZ100" s="5" t="s">
        <v>458</v>
      </c>
      <c r="BA100" s="5" t="s">
        <v>458</v>
      </c>
      <c r="BB100" s="5" t="s">
        <v>458</v>
      </c>
      <c r="BC100" s="5" t="s">
        <v>458</v>
      </c>
      <c r="BD100" s="5" t="s">
        <v>458</v>
      </c>
      <c r="BE100" s="5"/>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row>
    <row r="101" spans="1:100" x14ac:dyDescent="0.2">
      <c r="A101" s="21">
        <v>18</v>
      </c>
      <c r="B101" s="29" t="s">
        <v>350</v>
      </c>
      <c r="C101" s="8" t="s">
        <v>74</v>
      </c>
      <c r="D101" s="5">
        <v>22.535209999999999</v>
      </c>
      <c r="E101" s="5">
        <v>26.408449999999998</v>
      </c>
      <c r="F101" s="5">
        <v>29.753530000000001</v>
      </c>
      <c r="G101" s="5">
        <v>37.5</v>
      </c>
      <c r="H101" s="5">
        <v>43.838030000000003</v>
      </c>
      <c r="I101" s="5">
        <v>52.464790000000001</v>
      </c>
      <c r="J101" s="5">
        <v>55.281689999999998</v>
      </c>
      <c r="K101" s="5">
        <v>58.274650000000001</v>
      </c>
      <c r="L101" s="5">
        <v>61.795780000000001</v>
      </c>
      <c r="M101" s="5">
        <v>64.788730000000001</v>
      </c>
      <c r="N101" s="5">
        <v>68.133809999999997</v>
      </c>
      <c r="O101" s="5">
        <v>70.246480000000005</v>
      </c>
      <c r="P101" s="5">
        <v>73.239440000000002</v>
      </c>
      <c r="Q101" s="5">
        <v>75.528170000000003</v>
      </c>
      <c r="R101" s="5">
        <v>77.112679999999997</v>
      </c>
      <c r="S101" s="5">
        <v>80.633799999999994</v>
      </c>
      <c r="T101" s="5" t="s">
        <v>458</v>
      </c>
      <c r="U101" s="5" t="s">
        <v>458</v>
      </c>
      <c r="V101" s="5" t="s">
        <v>458</v>
      </c>
      <c r="W101" s="5" t="s">
        <v>458</v>
      </c>
      <c r="X101" s="5" t="s">
        <v>458</v>
      </c>
      <c r="Y101" s="5" t="s">
        <v>458</v>
      </c>
      <c r="Z101" s="5" t="s">
        <v>458</v>
      </c>
      <c r="AA101" s="5" t="s">
        <v>458</v>
      </c>
      <c r="AB101" s="5" t="s">
        <v>458</v>
      </c>
      <c r="AC101" s="5" t="s">
        <v>458</v>
      </c>
      <c r="AD101" s="5" t="s">
        <v>458</v>
      </c>
      <c r="AE101" s="5" t="s">
        <v>458</v>
      </c>
      <c r="AF101" s="5" t="s">
        <v>458</v>
      </c>
      <c r="AG101" s="5" t="s">
        <v>458</v>
      </c>
      <c r="AH101" s="5" t="s">
        <v>458</v>
      </c>
      <c r="AI101" s="5" t="s">
        <v>458</v>
      </c>
      <c r="AJ101" s="5" t="s">
        <v>458</v>
      </c>
      <c r="AK101" s="5" t="s">
        <v>458</v>
      </c>
      <c r="AL101" s="5" t="s">
        <v>458</v>
      </c>
      <c r="AM101" s="5" t="s">
        <v>458</v>
      </c>
      <c r="AN101" s="5" t="s">
        <v>458</v>
      </c>
      <c r="AO101" s="5" t="s">
        <v>458</v>
      </c>
      <c r="AP101" s="5" t="s">
        <v>458</v>
      </c>
      <c r="AQ101" s="5" t="s">
        <v>458</v>
      </c>
      <c r="AR101" s="5" t="s">
        <v>458</v>
      </c>
      <c r="AS101" s="5" t="s">
        <v>458</v>
      </c>
      <c r="AT101" s="5" t="s">
        <v>458</v>
      </c>
      <c r="AU101" s="5" t="s">
        <v>458</v>
      </c>
      <c r="AV101" s="5" t="s">
        <v>458</v>
      </c>
      <c r="AW101" s="5" t="s">
        <v>458</v>
      </c>
      <c r="AX101" s="5" t="s">
        <v>458</v>
      </c>
      <c r="AY101" s="5" t="s">
        <v>458</v>
      </c>
      <c r="AZ101" s="5" t="s">
        <v>458</v>
      </c>
      <c r="BA101" s="5" t="s">
        <v>458</v>
      </c>
      <c r="BB101" s="5" t="s">
        <v>458</v>
      </c>
      <c r="BC101" s="5" t="s">
        <v>458</v>
      </c>
      <c r="BD101" s="5" t="s">
        <v>458</v>
      </c>
      <c r="BE101" s="5"/>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row>
    <row r="102" spans="1:100" x14ac:dyDescent="0.2">
      <c r="A102" s="21">
        <v>18</v>
      </c>
      <c r="B102" s="29" t="s">
        <v>369</v>
      </c>
      <c r="C102" s="8" t="s">
        <v>50</v>
      </c>
      <c r="D102" s="5">
        <v>7.97872</v>
      </c>
      <c r="E102" s="5">
        <v>7.97872</v>
      </c>
      <c r="F102" s="5">
        <v>8.1560299999999994</v>
      </c>
      <c r="G102" s="5">
        <v>9.2198600000000006</v>
      </c>
      <c r="H102" s="5">
        <v>12.23404</v>
      </c>
      <c r="I102" s="5">
        <v>13.65249</v>
      </c>
      <c r="J102" s="5">
        <v>16.843979999999998</v>
      </c>
      <c r="K102" s="5">
        <v>18.61702</v>
      </c>
      <c r="L102" s="5">
        <v>19.14893</v>
      </c>
      <c r="M102" s="5">
        <v>20.921990000000001</v>
      </c>
      <c r="N102" s="5">
        <v>22.163119999999999</v>
      </c>
      <c r="O102" s="5">
        <v>23.936170000000001</v>
      </c>
      <c r="P102" s="5">
        <v>25.886520000000001</v>
      </c>
      <c r="Q102" s="5">
        <v>25</v>
      </c>
      <c r="R102" s="5">
        <v>26.595749999999999</v>
      </c>
      <c r="S102" s="5">
        <v>28.191490000000002</v>
      </c>
      <c r="T102" s="5" t="s">
        <v>458</v>
      </c>
      <c r="U102" s="5" t="s">
        <v>458</v>
      </c>
      <c r="V102" s="5" t="s">
        <v>458</v>
      </c>
      <c r="W102" s="5" t="s">
        <v>458</v>
      </c>
      <c r="X102" s="5" t="s">
        <v>458</v>
      </c>
      <c r="Y102" s="5" t="s">
        <v>458</v>
      </c>
      <c r="Z102" s="5" t="s">
        <v>458</v>
      </c>
      <c r="AA102" s="5" t="s">
        <v>458</v>
      </c>
      <c r="AB102" s="5" t="s">
        <v>458</v>
      </c>
      <c r="AC102" s="5" t="s">
        <v>458</v>
      </c>
      <c r="AD102" s="5" t="s">
        <v>458</v>
      </c>
      <c r="AE102" s="5" t="s">
        <v>458</v>
      </c>
      <c r="AF102" s="5" t="s">
        <v>458</v>
      </c>
      <c r="AG102" s="5" t="s">
        <v>458</v>
      </c>
      <c r="AH102" s="5" t="s">
        <v>458</v>
      </c>
      <c r="AI102" s="5" t="s">
        <v>458</v>
      </c>
      <c r="AJ102" s="5" t="s">
        <v>458</v>
      </c>
      <c r="AK102" s="5" t="s">
        <v>458</v>
      </c>
      <c r="AL102" s="5" t="s">
        <v>458</v>
      </c>
      <c r="AM102" s="5" t="s">
        <v>458</v>
      </c>
      <c r="AN102" s="5" t="s">
        <v>458</v>
      </c>
      <c r="AO102" s="5" t="s">
        <v>458</v>
      </c>
      <c r="AP102" s="5" t="s">
        <v>458</v>
      </c>
      <c r="AQ102" s="5" t="s">
        <v>458</v>
      </c>
      <c r="AR102" s="5" t="s">
        <v>458</v>
      </c>
      <c r="AS102" s="5" t="s">
        <v>458</v>
      </c>
      <c r="AT102" s="5" t="s">
        <v>458</v>
      </c>
      <c r="AU102" s="5" t="s">
        <v>458</v>
      </c>
      <c r="AV102" s="5" t="s">
        <v>458</v>
      </c>
      <c r="AW102" s="5" t="s">
        <v>458</v>
      </c>
      <c r="AX102" s="5" t="s">
        <v>458</v>
      </c>
      <c r="AY102" s="5" t="s">
        <v>458</v>
      </c>
      <c r="AZ102" s="5" t="s">
        <v>458</v>
      </c>
      <c r="BA102" s="5" t="s">
        <v>458</v>
      </c>
      <c r="BB102" s="5" t="s">
        <v>458</v>
      </c>
      <c r="BC102" s="5" t="s">
        <v>458</v>
      </c>
      <c r="BD102" s="5" t="s">
        <v>458</v>
      </c>
      <c r="BE102" s="5"/>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row>
    <row r="103" spans="1:100" x14ac:dyDescent="0.2">
      <c r="A103" s="21">
        <v>18</v>
      </c>
      <c r="B103" s="29" t="s">
        <v>370</v>
      </c>
      <c r="C103" s="8" t="s">
        <v>71</v>
      </c>
      <c r="D103" s="5">
        <v>37.76596</v>
      </c>
      <c r="E103" s="5">
        <v>45.390070000000001</v>
      </c>
      <c r="F103" s="5">
        <v>54.787239999999997</v>
      </c>
      <c r="G103" s="5">
        <v>61.524830000000001</v>
      </c>
      <c r="H103" s="5">
        <v>62.943260000000002</v>
      </c>
      <c r="I103" s="5">
        <v>70.56738</v>
      </c>
      <c r="J103" s="5">
        <v>79.609930000000006</v>
      </c>
      <c r="K103" s="5">
        <v>85.992909999999995</v>
      </c>
      <c r="L103" s="5">
        <v>92.730490000000003</v>
      </c>
      <c r="M103" s="5">
        <v>97.872339999999994</v>
      </c>
      <c r="N103" s="5">
        <v>98.226950000000002</v>
      </c>
      <c r="O103" s="5">
        <v>97.695030000000003</v>
      </c>
      <c r="P103" s="5">
        <v>97.695030000000003</v>
      </c>
      <c r="Q103" s="5">
        <v>97.695030000000003</v>
      </c>
      <c r="R103" s="5">
        <v>97.872339999999994</v>
      </c>
      <c r="S103" s="5">
        <v>98.581559999999996</v>
      </c>
      <c r="T103" s="5">
        <v>97.51773</v>
      </c>
      <c r="U103" s="5">
        <v>97.872339999999994</v>
      </c>
      <c r="V103" s="5">
        <v>98.581559999999996</v>
      </c>
      <c r="W103" s="5" t="s">
        <v>458</v>
      </c>
      <c r="X103" s="5" t="s">
        <v>458</v>
      </c>
      <c r="Y103" s="5" t="s">
        <v>458</v>
      </c>
      <c r="Z103" s="5" t="s">
        <v>458</v>
      </c>
      <c r="AA103" s="5" t="s">
        <v>458</v>
      </c>
      <c r="AB103" s="5" t="s">
        <v>458</v>
      </c>
      <c r="AC103" s="5" t="s">
        <v>458</v>
      </c>
      <c r="AD103" s="5" t="s">
        <v>458</v>
      </c>
      <c r="AE103" s="5" t="s">
        <v>458</v>
      </c>
      <c r="AF103" s="5" t="s">
        <v>458</v>
      </c>
      <c r="AG103" s="5" t="s">
        <v>458</v>
      </c>
      <c r="AH103" s="5" t="s">
        <v>458</v>
      </c>
      <c r="AI103" s="5" t="s">
        <v>458</v>
      </c>
      <c r="AJ103" s="5" t="s">
        <v>458</v>
      </c>
      <c r="AK103" s="5" t="s">
        <v>458</v>
      </c>
      <c r="AL103" s="5" t="s">
        <v>458</v>
      </c>
      <c r="AM103" s="5" t="s">
        <v>458</v>
      </c>
      <c r="AN103" s="5" t="s">
        <v>458</v>
      </c>
      <c r="AO103" s="5" t="s">
        <v>458</v>
      </c>
      <c r="AP103" s="5" t="s">
        <v>458</v>
      </c>
      <c r="AQ103" s="5" t="s">
        <v>458</v>
      </c>
      <c r="AR103" s="5" t="s">
        <v>458</v>
      </c>
      <c r="AS103" s="5" t="s">
        <v>458</v>
      </c>
      <c r="AT103" s="5" t="s">
        <v>458</v>
      </c>
      <c r="AU103" s="5" t="s">
        <v>458</v>
      </c>
      <c r="AV103" s="5" t="s">
        <v>458</v>
      </c>
      <c r="AW103" s="5" t="s">
        <v>458</v>
      </c>
      <c r="AX103" s="5" t="s">
        <v>458</v>
      </c>
      <c r="AY103" s="5" t="s">
        <v>458</v>
      </c>
      <c r="AZ103" s="5" t="s">
        <v>458</v>
      </c>
      <c r="BA103" s="5" t="s">
        <v>458</v>
      </c>
      <c r="BB103" s="5" t="s">
        <v>458</v>
      </c>
      <c r="BC103" s="5" t="s">
        <v>458</v>
      </c>
      <c r="BD103" s="5" t="s">
        <v>458</v>
      </c>
      <c r="BE103" s="5"/>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row>
    <row r="104" spans="1:100" x14ac:dyDescent="0.2">
      <c r="A104" s="21">
        <v>18</v>
      </c>
      <c r="B104" s="29" t="s">
        <v>371</v>
      </c>
      <c r="C104" s="8" t="s">
        <v>72</v>
      </c>
      <c r="D104" s="5">
        <v>18.971630000000001</v>
      </c>
      <c r="E104" s="5">
        <v>31.91489</v>
      </c>
      <c r="F104" s="5">
        <v>39.007089999999998</v>
      </c>
      <c r="G104" s="5">
        <v>46.985810000000001</v>
      </c>
      <c r="H104" s="5">
        <v>53.723399999999998</v>
      </c>
      <c r="I104" s="5">
        <v>56.028370000000002</v>
      </c>
      <c r="J104" s="5">
        <v>58.510640000000002</v>
      </c>
      <c r="K104" s="5">
        <v>64.007090000000005</v>
      </c>
      <c r="L104" s="5">
        <v>71.631200000000007</v>
      </c>
      <c r="M104" s="5">
        <v>78.546099999999996</v>
      </c>
      <c r="N104" s="5">
        <v>88.652479999999997</v>
      </c>
      <c r="O104" s="5">
        <v>90.780140000000003</v>
      </c>
      <c r="P104" s="5">
        <v>90.780140000000003</v>
      </c>
      <c r="Q104" s="5">
        <v>92.375889999999998</v>
      </c>
      <c r="R104" s="5">
        <v>93.794330000000002</v>
      </c>
      <c r="S104" s="5">
        <v>94.858159999999998</v>
      </c>
      <c r="T104" s="5">
        <v>95.390069999999994</v>
      </c>
      <c r="U104" s="5">
        <v>96.276589999999999</v>
      </c>
      <c r="V104" s="5">
        <v>96.453900000000004</v>
      </c>
      <c r="W104" s="5">
        <v>96.276589999999999</v>
      </c>
      <c r="X104" s="5" t="s">
        <v>458</v>
      </c>
      <c r="Y104" s="5" t="s">
        <v>458</v>
      </c>
      <c r="Z104" s="5" t="s">
        <v>458</v>
      </c>
      <c r="AA104" s="5" t="s">
        <v>458</v>
      </c>
      <c r="AB104" s="5" t="s">
        <v>458</v>
      </c>
      <c r="AC104" s="5" t="s">
        <v>458</v>
      </c>
      <c r="AD104" s="5" t="s">
        <v>458</v>
      </c>
      <c r="AE104" s="5" t="s">
        <v>458</v>
      </c>
      <c r="AF104" s="5" t="s">
        <v>458</v>
      </c>
      <c r="AG104" s="5" t="s">
        <v>458</v>
      </c>
      <c r="AH104" s="5" t="s">
        <v>458</v>
      </c>
      <c r="AI104" s="5" t="s">
        <v>458</v>
      </c>
      <c r="AJ104" s="5" t="s">
        <v>458</v>
      </c>
      <c r="AK104" s="5" t="s">
        <v>458</v>
      </c>
      <c r="AL104" s="5" t="s">
        <v>458</v>
      </c>
      <c r="AM104" s="5" t="s">
        <v>458</v>
      </c>
      <c r="AN104" s="5" t="s">
        <v>458</v>
      </c>
      <c r="AO104" s="5" t="s">
        <v>458</v>
      </c>
      <c r="AP104" s="5" t="s">
        <v>458</v>
      </c>
      <c r="AQ104" s="5" t="s">
        <v>458</v>
      </c>
      <c r="AR104" s="5" t="s">
        <v>458</v>
      </c>
      <c r="AS104" s="5" t="s">
        <v>458</v>
      </c>
      <c r="AT104" s="5" t="s">
        <v>458</v>
      </c>
      <c r="AU104" s="5" t="s">
        <v>458</v>
      </c>
      <c r="AV104" s="5" t="s">
        <v>458</v>
      </c>
      <c r="AW104" s="5" t="s">
        <v>458</v>
      </c>
      <c r="AX104" s="5" t="s">
        <v>458</v>
      </c>
      <c r="AY104" s="5" t="s">
        <v>458</v>
      </c>
      <c r="AZ104" s="5" t="s">
        <v>458</v>
      </c>
      <c r="BA104" s="5" t="s">
        <v>458</v>
      </c>
      <c r="BB104" s="5" t="s">
        <v>458</v>
      </c>
      <c r="BC104" s="5" t="s">
        <v>458</v>
      </c>
      <c r="BD104" s="5" t="s">
        <v>458</v>
      </c>
      <c r="BE104" s="5"/>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row>
    <row r="105" spans="1:100" x14ac:dyDescent="0.2">
      <c r="A105" s="21">
        <v>18</v>
      </c>
      <c r="B105" s="29" t="s">
        <v>372</v>
      </c>
      <c r="C105" s="8" t="s">
        <v>73</v>
      </c>
      <c r="D105" s="5">
        <v>17.730499999999999</v>
      </c>
      <c r="E105" s="5">
        <v>18.971630000000001</v>
      </c>
      <c r="F105" s="5">
        <v>22.51773</v>
      </c>
      <c r="G105" s="5">
        <v>27.836880000000001</v>
      </c>
      <c r="H105" s="5">
        <v>35.992910000000002</v>
      </c>
      <c r="I105" s="5">
        <v>41.489370000000001</v>
      </c>
      <c r="J105" s="5">
        <v>47.517740000000003</v>
      </c>
      <c r="K105" s="5">
        <v>53.368789999999997</v>
      </c>
      <c r="L105" s="5">
        <v>60.28369</v>
      </c>
      <c r="M105" s="5">
        <v>64.893619999999999</v>
      </c>
      <c r="N105" s="5">
        <v>71.808509999999998</v>
      </c>
      <c r="O105" s="5">
        <v>77.836879999999994</v>
      </c>
      <c r="P105" s="5">
        <v>83.156030000000001</v>
      </c>
      <c r="Q105" s="5">
        <v>86.170209999999997</v>
      </c>
      <c r="R105" s="5">
        <v>86.702129999999997</v>
      </c>
      <c r="S105" s="5">
        <v>87.765960000000007</v>
      </c>
      <c r="T105" s="5">
        <v>87.765960000000007</v>
      </c>
      <c r="U105" s="5">
        <v>88.652479999999997</v>
      </c>
      <c r="V105" s="5">
        <v>90.60284</v>
      </c>
      <c r="W105" s="5">
        <v>91.312060000000002</v>
      </c>
      <c r="X105" s="5">
        <v>92.375889999999998</v>
      </c>
      <c r="Y105" s="5">
        <v>93.439719999999994</v>
      </c>
      <c r="Z105" s="5">
        <v>95.03546</v>
      </c>
      <c r="AA105" s="5">
        <v>95.390069999999994</v>
      </c>
      <c r="AB105" s="5">
        <v>95.744680000000002</v>
      </c>
      <c r="AC105" s="5" t="s">
        <v>458</v>
      </c>
      <c r="AD105" s="5" t="s">
        <v>458</v>
      </c>
      <c r="AE105" s="5" t="s">
        <v>458</v>
      </c>
      <c r="AF105" s="5" t="s">
        <v>458</v>
      </c>
      <c r="AG105" s="5" t="s">
        <v>458</v>
      </c>
      <c r="AH105" s="5" t="s">
        <v>458</v>
      </c>
      <c r="AI105" s="5" t="s">
        <v>458</v>
      </c>
      <c r="AJ105" s="5" t="s">
        <v>458</v>
      </c>
      <c r="AK105" s="5" t="s">
        <v>458</v>
      </c>
      <c r="AL105" s="5" t="s">
        <v>458</v>
      </c>
      <c r="AM105" s="5" t="s">
        <v>458</v>
      </c>
      <c r="AN105" s="5" t="s">
        <v>458</v>
      </c>
      <c r="AO105" s="5" t="s">
        <v>458</v>
      </c>
      <c r="AP105" s="5" t="s">
        <v>458</v>
      </c>
      <c r="AQ105" s="5" t="s">
        <v>458</v>
      </c>
      <c r="AR105" s="5" t="s">
        <v>458</v>
      </c>
      <c r="AS105" s="5" t="s">
        <v>458</v>
      </c>
      <c r="AT105" s="5" t="s">
        <v>458</v>
      </c>
      <c r="AU105" s="5" t="s">
        <v>458</v>
      </c>
      <c r="AV105" s="5" t="s">
        <v>458</v>
      </c>
      <c r="AW105" s="5" t="s">
        <v>458</v>
      </c>
      <c r="AX105" s="5" t="s">
        <v>458</v>
      </c>
      <c r="AY105" s="5" t="s">
        <v>458</v>
      </c>
      <c r="AZ105" s="5" t="s">
        <v>458</v>
      </c>
      <c r="BA105" s="5" t="s">
        <v>458</v>
      </c>
      <c r="BB105" s="5" t="s">
        <v>458</v>
      </c>
      <c r="BC105" s="5" t="s">
        <v>458</v>
      </c>
      <c r="BD105" s="5" t="s">
        <v>458</v>
      </c>
      <c r="BE105" s="5"/>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row>
    <row r="106" spans="1:100" x14ac:dyDescent="0.2">
      <c r="A106" s="21">
        <v>18</v>
      </c>
      <c r="B106" s="29" t="s">
        <v>351</v>
      </c>
      <c r="C106" s="8" t="s">
        <v>74</v>
      </c>
      <c r="D106" s="5">
        <v>12.411350000000001</v>
      </c>
      <c r="E106" s="5">
        <v>19.503550000000001</v>
      </c>
      <c r="F106" s="5">
        <v>20.56738</v>
      </c>
      <c r="G106" s="5">
        <v>28.3688</v>
      </c>
      <c r="H106" s="5">
        <v>37.411349999999999</v>
      </c>
      <c r="I106" s="5">
        <v>45.744680000000002</v>
      </c>
      <c r="J106" s="5">
        <v>52.304969999999997</v>
      </c>
      <c r="K106" s="5">
        <v>60.638300000000001</v>
      </c>
      <c r="L106" s="5">
        <v>66.489360000000005</v>
      </c>
      <c r="M106" s="5">
        <v>74.290779999999998</v>
      </c>
      <c r="N106" s="5">
        <v>81.560280000000006</v>
      </c>
      <c r="O106" s="5">
        <v>87.588650000000001</v>
      </c>
      <c r="P106" s="5">
        <v>88.829790000000003</v>
      </c>
      <c r="Q106" s="5">
        <v>88.829790000000003</v>
      </c>
      <c r="R106" s="5">
        <v>89.539010000000005</v>
      </c>
      <c r="S106" s="5">
        <v>90.780140000000003</v>
      </c>
      <c r="T106" s="5">
        <v>90.957449999999994</v>
      </c>
      <c r="U106" s="5">
        <v>92.021280000000004</v>
      </c>
      <c r="V106" s="5">
        <v>92.730490000000003</v>
      </c>
      <c r="W106" s="5">
        <v>93.439719999999994</v>
      </c>
      <c r="X106" s="5">
        <v>93.971630000000005</v>
      </c>
      <c r="Y106" s="5">
        <v>94.858159999999998</v>
      </c>
      <c r="Z106" s="5">
        <v>95.212770000000006</v>
      </c>
      <c r="AA106" s="5" t="s">
        <v>458</v>
      </c>
      <c r="AB106" s="5" t="s">
        <v>458</v>
      </c>
      <c r="AC106" s="5" t="s">
        <v>458</v>
      </c>
      <c r="AD106" s="5" t="s">
        <v>458</v>
      </c>
      <c r="AE106" s="5" t="s">
        <v>458</v>
      </c>
      <c r="AF106" s="5" t="s">
        <v>458</v>
      </c>
      <c r="AG106" s="5" t="s">
        <v>458</v>
      </c>
      <c r="AH106" s="5" t="s">
        <v>458</v>
      </c>
      <c r="AI106" s="5" t="s">
        <v>458</v>
      </c>
      <c r="AJ106" s="5" t="s">
        <v>458</v>
      </c>
      <c r="AK106" s="5" t="s">
        <v>458</v>
      </c>
      <c r="AL106" s="5" t="s">
        <v>458</v>
      </c>
      <c r="AM106" s="5" t="s">
        <v>458</v>
      </c>
      <c r="AN106" s="5" t="s">
        <v>458</v>
      </c>
      <c r="AO106" s="5" t="s">
        <v>458</v>
      </c>
      <c r="AP106" s="5" t="s">
        <v>458</v>
      </c>
      <c r="AQ106" s="5" t="s">
        <v>458</v>
      </c>
      <c r="AR106" s="5" t="s">
        <v>458</v>
      </c>
      <c r="AS106" s="5" t="s">
        <v>458</v>
      </c>
      <c r="AT106" s="5" t="s">
        <v>458</v>
      </c>
      <c r="AU106" s="5" t="s">
        <v>458</v>
      </c>
      <c r="AV106" s="5" t="s">
        <v>458</v>
      </c>
      <c r="AW106" s="5" t="s">
        <v>458</v>
      </c>
      <c r="AX106" s="5" t="s">
        <v>458</v>
      </c>
      <c r="AY106" s="5" t="s">
        <v>458</v>
      </c>
      <c r="AZ106" s="5" t="s">
        <v>458</v>
      </c>
      <c r="BA106" s="5" t="s">
        <v>458</v>
      </c>
      <c r="BB106" s="5" t="s">
        <v>458</v>
      </c>
      <c r="BC106" s="5" t="s">
        <v>458</v>
      </c>
      <c r="BD106" s="5" t="s">
        <v>458</v>
      </c>
      <c r="BE106" s="5"/>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row>
    <row r="107" spans="1:100" x14ac:dyDescent="0.2">
      <c r="A107" s="21">
        <v>18</v>
      </c>
      <c r="B107" s="29" t="s">
        <v>373</v>
      </c>
      <c r="C107" s="8" t="s">
        <v>50</v>
      </c>
      <c r="D107">
        <v>1.1033299999999999</v>
      </c>
      <c r="E107">
        <v>1.78634</v>
      </c>
      <c r="F107">
        <v>1.9439599999999999</v>
      </c>
      <c r="G107">
        <v>2.57443</v>
      </c>
      <c r="H107">
        <v>2.8896700000000002</v>
      </c>
      <c r="I107">
        <v>3.2574399999999999</v>
      </c>
      <c r="J107">
        <v>3.5726800000000001</v>
      </c>
      <c r="K107">
        <v>3.9404599999999999</v>
      </c>
      <c r="L107">
        <v>4.30823</v>
      </c>
      <c r="M107">
        <v>4.5709299999999997</v>
      </c>
      <c r="N107">
        <v>4.6760099999999998</v>
      </c>
      <c r="O107">
        <v>4.9386999999999999</v>
      </c>
      <c r="P107">
        <v>4.9912400000000003</v>
      </c>
      <c r="Q107">
        <v>5.0437799999999999</v>
      </c>
      <c r="R107">
        <v>5.6217199999999998</v>
      </c>
      <c r="S107">
        <v>5.8844099999999999</v>
      </c>
      <c r="T107">
        <v>6.1471099999999996</v>
      </c>
      <c r="U107">
        <v>6.4098100000000002</v>
      </c>
      <c r="V107">
        <v>6.6199599999999998</v>
      </c>
      <c r="W107" s="5" t="s">
        <v>458</v>
      </c>
      <c r="X107" s="5" t="s">
        <v>458</v>
      </c>
      <c r="Y107" s="5" t="s">
        <v>458</v>
      </c>
      <c r="Z107" s="5" t="s">
        <v>458</v>
      </c>
      <c r="AA107" s="5" t="s">
        <v>458</v>
      </c>
      <c r="AB107" s="5" t="s">
        <v>458</v>
      </c>
      <c r="AC107" s="5" t="s">
        <v>458</v>
      </c>
      <c r="AD107" s="5" t="s">
        <v>458</v>
      </c>
      <c r="AE107" s="5" t="s">
        <v>458</v>
      </c>
      <c r="AF107" s="5" t="s">
        <v>458</v>
      </c>
      <c r="AG107" s="5" t="s">
        <v>458</v>
      </c>
      <c r="AH107" s="5" t="s">
        <v>458</v>
      </c>
      <c r="AI107" s="5" t="s">
        <v>458</v>
      </c>
      <c r="AJ107" s="5" t="s">
        <v>458</v>
      </c>
      <c r="AK107" s="5" t="s">
        <v>458</v>
      </c>
      <c r="AL107" s="5" t="s">
        <v>458</v>
      </c>
      <c r="AM107" s="5" t="s">
        <v>458</v>
      </c>
      <c r="AN107" s="5" t="s">
        <v>458</v>
      </c>
      <c r="AO107" s="5" t="s">
        <v>458</v>
      </c>
      <c r="AP107" s="5" t="s">
        <v>458</v>
      </c>
      <c r="AQ107" s="5" t="s">
        <v>458</v>
      </c>
      <c r="AR107" s="5" t="s">
        <v>458</v>
      </c>
      <c r="AS107" s="5" t="s">
        <v>458</v>
      </c>
      <c r="AT107" s="5" t="s">
        <v>458</v>
      </c>
      <c r="AU107" s="5" t="s">
        <v>458</v>
      </c>
      <c r="AV107" s="5" t="s">
        <v>458</v>
      </c>
      <c r="AW107" s="5" t="s">
        <v>458</v>
      </c>
      <c r="AX107" s="5" t="s">
        <v>458</v>
      </c>
      <c r="AY107" s="5" t="s">
        <v>458</v>
      </c>
      <c r="AZ107" s="5" t="s">
        <v>458</v>
      </c>
      <c r="BA107" s="5" t="s">
        <v>458</v>
      </c>
      <c r="BB107" s="5" t="s">
        <v>458</v>
      </c>
      <c r="BC107" s="5" t="s">
        <v>458</v>
      </c>
      <c r="BD107" s="5" t="s">
        <v>458</v>
      </c>
      <c r="BE107" s="5"/>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row>
    <row r="108" spans="1:100" x14ac:dyDescent="0.2">
      <c r="A108" s="21">
        <v>18</v>
      </c>
      <c r="B108" s="29" t="s">
        <v>374</v>
      </c>
      <c r="C108" s="8" t="s">
        <v>71</v>
      </c>
      <c r="D108" s="5">
        <v>24.699829999999999</v>
      </c>
      <c r="E108" s="5">
        <v>40.823329999999999</v>
      </c>
      <c r="F108" s="5">
        <v>48.713549999999998</v>
      </c>
      <c r="G108" s="5">
        <v>55.060040000000001</v>
      </c>
      <c r="H108" s="5">
        <v>66.89537</v>
      </c>
      <c r="I108" s="5">
        <v>73.927959999999999</v>
      </c>
      <c r="J108" s="5">
        <v>81.132080000000002</v>
      </c>
      <c r="K108" s="5">
        <v>88.336190000000002</v>
      </c>
      <c r="L108" s="5">
        <v>91.595200000000006</v>
      </c>
      <c r="M108" s="5">
        <v>96.226410000000001</v>
      </c>
      <c r="N108" s="5">
        <v>99.789599999999993</v>
      </c>
      <c r="O108" s="5">
        <v>99.989800000000002</v>
      </c>
      <c r="P108" s="5">
        <v>100</v>
      </c>
      <c r="Q108" s="5" t="s">
        <v>458</v>
      </c>
      <c r="R108" s="5" t="s">
        <v>458</v>
      </c>
      <c r="S108" s="5" t="s">
        <v>458</v>
      </c>
      <c r="T108" s="5" t="s">
        <v>458</v>
      </c>
      <c r="U108" s="5" t="s">
        <v>458</v>
      </c>
      <c r="V108" s="5" t="s">
        <v>458</v>
      </c>
      <c r="W108" s="5" t="s">
        <v>458</v>
      </c>
      <c r="X108" s="5" t="s">
        <v>458</v>
      </c>
      <c r="Y108" s="5" t="s">
        <v>458</v>
      </c>
      <c r="Z108" s="5" t="s">
        <v>458</v>
      </c>
      <c r="AA108" s="5" t="s">
        <v>458</v>
      </c>
      <c r="AB108" s="5" t="s">
        <v>458</v>
      </c>
      <c r="AC108" s="5" t="s">
        <v>458</v>
      </c>
      <c r="AD108" s="5" t="s">
        <v>458</v>
      </c>
      <c r="AE108" s="5" t="s">
        <v>458</v>
      </c>
      <c r="AF108" s="5" t="s">
        <v>458</v>
      </c>
      <c r="AG108" s="5" t="s">
        <v>458</v>
      </c>
      <c r="AH108" s="5" t="s">
        <v>458</v>
      </c>
      <c r="AI108" s="5" t="s">
        <v>458</v>
      </c>
      <c r="AJ108" s="5" t="s">
        <v>458</v>
      </c>
      <c r="AK108" s="5" t="s">
        <v>458</v>
      </c>
      <c r="AL108" s="5" t="s">
        <v>458</v>
      </c>
      <c r="AM108" s="5" t="s">
        <v>458</v>
      </c>
      <c r="AN108" s="5" t="s">
        <v>458</v>
      </c>
      <c r="AO108" s="5" t="s">
        <v>458</v>
      </c>
      <c r="AP108" s="5" t="s">
        <v>458</v>
      </c>
      <c r="AQ108" s="5" t="s">
        <v>458</v>
      </c>
      <c r="AR108" s="5" t="s">
        <v>458</v>
      </c>
      <c r="AS108" s="5" t="s">
        <v>458</v>
      </c>
      <c r="AT108" s="5" t="s">
        <v>458</v>
      </c>
      <c r="AU108" s="5" t="s">
        <v>458</v>
      </c>
      <c r="AV108" s="5" t="s">
        <v>458</v>
      </c>
      <c r="AW108" s="5" t="s">
        <v>458</v>
      </c>
      <c r="AX108" s="5" t="s">
        <v>458</v>
      </c>
      <c r="AY108" s="5" t="s">
        <v>458</v>
      </c>
      <c r="AZ108" s="5" t="s">
        <v>458</v>
      </c>
      <c r="BA108" s="5" t="s">
        <v>458</v>
      </c>
      <c r="BB108" s="5" t="s">
        <v>458</v>
      </c>
      <c r="BC108" s="5" t="s">
        <v>458</v>
      </c>
      <c r="BD108" s="5" t="s">
        <v>458</v>
      </c>
      <c r="BE108" s="5"/>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row>
    <row r="109" spans="1:100" x14ac:dyDescent="0.2">
      <c r="A109" s="21">
        <v>18</v>
      </c>
      <c r="B109" s="29" t="s">
        <v>375</v>
      </c>
      <c r="C109" s="8" t="s">
        <v>72</v>
      </c>
      <c r="D109" s="5">
        <v>27.615770000000001</v>
      </c>
      <c r="E109" s="5">
        <v>34.64837</v>
      </c>
      <c r="F109" s="5">
        <v>39.965699999999998</v>
      </c>
      <c r="G109" s="5">
        <v>44.425379999999997</v>
      </c>
      <c r="H109" s="5">
        <v>52.144080000000002</v>
      </c>
      <c r="I109" s="5">
        <v>62.607199999999999</v>
      </c>
      <c r="J109" s="5">
        <v>69.811319999999995</v>
      </c>
      <c r="K109" s="5">
        <v>75.128649999999993</v>
      </c>
      <c r="L109" s="5">
        <v>83.533450000000002</v>
      </c>
      <c r="M109" s="5">
        <v>84.219549999999998</v>
      </c>
      <c r="N109" s="5">
        <v>86.106350000000006</v>
      </c>
      <c r="O109" s="5">
        <v>87.993139999999997</v>
      </c>
      <c r="P109" s="5">
        <v>89.193830000000005</v>
      </c>
      <c r="Q109" s="5">
        <v>90.909090000000006</v>
      </c>
      <c r="R109" s="5">
        <v>92.624350000000007</v>
      </c>
      <c r="S109" s="5">
        <v>93.825040000000001</v>
      </c>
      <c r="T109" s="5">
        <v>95.368780000000001</v>
      </c>
      <c r="U109" s="5">
        <v>97.59863</v>
      </c>
      <c r="V109" s="5">
        <v>98.627790000000005</v>
      </c>
      <c r="W109" s="5" t="s">
        <v>458</v>
      </c>
      <c r="X109" s="5" t="s">
        <v>458</v>
      </c>
      <c r="Y109" s="5" t="s">
        <v>458</v>
      </c>
      <c r="Z109" s="5" t="s">
        <v>458</v>
      </c>
      <c r="AA109" s="5" t="s">
        <v>458</v>
      </c>
      <c r="AB109" s="5" t="s">
        <v>458</v>
      </c>
      <c r="AC109" s="5" t="s">
        <v>458</v>
      </c>
      <c r="AD109" s="5" t="s">
        <v>458</v>
      </c>
      <c r="AE109" s="5" t="s">
        <v>458</v>
      </c>
      <c r="AF109" s="5" t="s">
        <v>458</v>
      </c>
      <c r="AG109" s="5" t="s">
        <v>458</v>
      </c>
      <c r="AH109" s="5" t="s">
        <v>458</v>
      </c>
      <c r="AI109" s="5" t="s">
        <v>458</v>
      </c>
      <c r="AJ109" s="5" t="s">
        <v>458</v>
      </c>
      <c r="AK109" s="5" t="s">
        <v>458</v>
      </c>
      <c r="AL109" s="5" t="s">
        <v>458</v>
      </c>
      <c r="AM109" s="5" t="s">
        <v>458</v>
      </c>
      <c r="AN109" s="5" t="s">
        <v>458</v>
      </c>
      <c r="AO109" s="5" t="s">
        <v>458</v>
      </c>
      <c r="AP109" s="5" t="s">
        <v>458</v>
      </c>
      <c r="AQ109" s="5" t="s">
        <v>458</v>
      </c>
      <c r="AR109" s="5" t="s">
        <v>458</v>
      </c>
      <c r="AS109" s="5" t="s">
        <v>458</v>
      </c>
      <c r="AT109" s="5" t="s">
        <v>458</v>
      </c>
      <c r="AU109" s="5" t="s">
        <v>458</v>
      </c>
      <c r="AV109" s="5" t="s">
        <v>458</v>
      </c>
      <c r="AW109" s="5" t="s">
        <v>458</v>
      </c>
      <c r="AX109" s="5" t="s">
        <v>458</v>
      </c>
      <c r="AY109" s="5" t="s">
        <v>458</v>
      </c>
      <c r="AZ109" s="5" t="s">
        <v>458</v>
      </c>
      <c r="BA109" s="5" t="s">
        <v>458</v>
      </c>
      <c r="BB109" s="5" t="s">
        <v>458</v>
      </c>
      <c r="BC109" s="5" t="s">
        <v>458</v>
      </c>
      <c r="BD109" s="5" t="s">
        <v>458</v>
      </c>
      <c r="BE109" s="5"/>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row>
    <row r="110" spans="1:100" x14ac:dyDescent="0.2">
      <c r="A110" s="21">
        <v>18</v>
      </c>
      <c r="B110" s="29" t="s">
        <v>376</v>
      </c>
      <c r="C110" s="8" t="s">
        <v>73</v>
      </c>
      <c r="D110" s="5">
        <v>19.210979999999999</v>
      </c>
      <c r="E110" s="5">
        <v>13.37907</v>
      </c>
      <c r="F110" s="5">
        <v>17.838760000000001</v>
      </c>
      <c r="G110" s="5">
        <v>28.301880000000001</v>
      </c>
      <c r="H110" s="5">
        <v>36.020580000000002</v>
      </c>
      <c r="I110" s="5">
        <v>43.053179999999998</v>
      </c>
      <c r="J110" s="5">
        <v>50.77187</v>
      </c>
      <c r="K110" s="5">
        <v>57.804459999999999</v>
      </c>
      <c r="L110" s="5">
        <v>61.921100000000003</v>
      </c>
      <c r="M110" s="5">
        <v>65.523160000000004</v>
      </c>
      <c r="N110" s="5">
        <v>68.782160000000005</v>
      </c>
      <c r="O110" s="5">
        <v>73.241849999999999</v>
      </c>
      <c r="P110" s="5">
        <v>77.186959999999999</v>
      </c>
      <c r="Q110" s="5">
        <v>81.132080000000002</v>
      </c>
      <c r="R110" s="5">
        <v>83.704970000000003</v>
      </c>
      <c r="S110" s="5">
        <v>87.650090000000006</v>
      </c>
      <c r="T110" s="5">
        <v>90.566040000000001</v>
      </c>
      <c r="U110" s="5">
        <v>93.996570000000006</v>
      </c>
      <c r="V110" s="5">
        <v>96.912520000000001</v>
      </c>
      <c r="W110" s="5">
        <v>99.828469999999996</v>
      </c>
      <c r="X110" s="5" t="s">
        <v>458</v>
      </c>
      <c r="Y110" s="5" t="s">
        <v>458</v>
      </c>
      <c r="Z110" s="5" t="s">
        <v>458</v>
      </c>
      <c r="AA110" s="5" t="s">
        <v>458</v>
      </c>
      <c r="AB110" s="5" t="s">
        <v>458</v>
      </c>
      <c r="AC110" s="5" t="s">
        <v>458</v>
      </c>
      <c r="AD110" s="5" t="s">
        <v>458</v>
      </c>
      <c r="AE110" s="5" t="s">
        <v>458</v>
      </c>
      <c r="AF110" s="5" t="s">
        <v>458</v>
      </c>
      <c r="AG110" s="5" t="s">
        <v>458</v>
      </c>
      <c r="AH110" s="5" t="s">
        <v>458</v>
      </c>
      <c r="AI110" s="5" t="s">
        <v>458</v>
      </c>
      <c r="AJ110" s="5" t="s">
        <v>458</v>
      </c>
      <c r="AK110" s="5" t="s">
        <v>458</v>
      </c>
      <c r="AL110" s="5" t="s">
        <v>458</v>
      </c>
      <c r="AM110" s="5" t="s">
        <v>458</v>
      </c>
      <c r="AN110" s="5" t="s">
        <v>458</v>
      </c>
      <c r="AO110" s="5" t="s">
        <v>458</v>
      </c>
      <c r="AP110" s="5" t="s">
        <v>458</v>
      </c>
      <c r="AQ110" s="5" t="s">
        <v>458</v>
      </c>
      <c r="AR110" s="5" t="s">
        <v>458</v>
      </c>
      <c r="AS110" s="5" t="s">
        <v>458</v>
      </c>
      <c r="AT110" s="5" t="s">
        <v>458</v>
      </c>
      <c r="AU110" s="5" t="s">
        <v>458</v>
      </c>
      <c r="AV110" s="5" t="s">
        <v>458</v>
      </c>
      <c r="AW110" s="5" t="s">
        <v>458</v>
      </c>
      <c r="AX110" s="5" t="s">
        <v>458</v>
      </c>
      <c r="AY110" s="5" t="s">
        <v>458</v>
      </c>
      <c r="AZ110" s="5" t="s">
        <v>458</v>
      </c>
      <c r="BA110" s="5" t="s">
        <v>458</v>
      </c>
      <c r="BB110" s="5" t="s">
        <v>458</v>
      </c>
      <c r="BC110" s="5" t="s">
        <v>458</v>
      </c>
      <c r="BD110" s="5" t="s">
        <v>458</v>
      </c>
      <c r="BE110" s="5"/>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row>
    <row r="111" spans="1:100" s="18" customFormat="1" x14ac:dyDescent="0.2">
      <c r="A111" s="23">
        <v>18</v>
      </c>
      <c r="B111" s="30" t="s">
        <v>377</v>
      </c>
      <c r="C111" s="342" t="s">
        <v>74</v>
      </c>
      <c r="D111" s="19">
        <v>7.5471599999999999</v>
      </c>
      <c r="E111" s="19">
        <v>10.291589999999999</v>
      </c>
      <c r="F111" s="19">
        <v>11.32075</v>
      </c>
      <c r="G111" s="19">
        <v>11.492279999999999</v>
      </c>
      <c r="H111" s="19">
        <v>19.3825</v>
      </c>
      <c r="I111" s="19">
        <v>26.758140000000001</v>
      </c>
      <c r="J111" s="19">
        <v>31.560890000000001</v>
      </c>
      <c r="K111" s="19">
        <v>37.564320000000002</v>
      </c>
      <c r="L111" s="19">
        <v>42.024009999999997</v>
      </c>
      <c r="M111" s="19">
        <v>45.111490000000003</v>
      </c>
      <c r="N111" s="19">
        <v>49.399659999999997</v>
      </c>
      <c r="O111" s="19">
        <v>54.545450000000002</v>
      </c>
      <c r="P111" s="19">
        <v>61.578040000000001</v>
      </c>
      <c r="Q111" s="19">
        <v>67.066900000000004</v>
      </c>
      <c r="R111" s="19">
        <v>74.442539999999994</v>
      </c>
      <c r="S111" s="19">
        <v>79.416809999999998</v>
      </c>
      <c r="T111" s="19">
        <v>83.190389999999994</v>
      </c>
      <c r="U111" s="19">
        <v>87.135499999999993</v>
      </c>
      <c r="V111" s="19">
        <v>90.222980000000007</v>
      </c>
      <c r="W111" s="19">
        <v>94.511150000000001</v>
      </c>
      <c r="X111" s="19" t="s">
        <v>458</v>
      </c>
      <c r="Y111" s="19" t="s">
        <v>458</v>
      </c>
      <c r="Z111" s="19" t="s">
        <v>458</v>
      </c>
      <c r="AA111" s="19" t="s">
        <v>458</v>
      </c>
      <c r="AB111" s="19" t="s">
        <v>458</v>
      </c>
      <c r="AC111" s="19" t="s">
        <v>458</v>
      </c>
      <c r="AD111" s="19" t="s">
        <v>458</v>
      </c>
      <c r="AE111" s="19" t="s">
        <v>458</v>
      </c>
      <c r="AF111" s="19" t="s">
        <v>458</v>
      </c>
      <c r="AG111" s="19" t="s">
        <v>458</v>
      </c>
      <c r="AH111" s="19" t="s">
        <v>458</v>
      </c>
      <c r="AI111" s="19" t="s">
        <v>458</v>
      </c>
      <c r="AJ111" s="19" t="s">
        <v>458</v>
      </c>
      <c r="AK111" s="19" t="s">
        <v>458</v>
      </c>
      <c r="AL111" s="19" t="s">
        <v>458</v>
      </c>
      <c r="AM111" s="19" t="s">
        <v>458</v>
      </c>
      <c r="AN111" s="19" t="s">
        <v>458</v>
      </c>
      <c r="AO111" s="19" t="s">
        <v>458</v>
      </c>
      <c r="AP111" s="19" t="s">
        <v>458</v>
      </c>
      <c r="AQ111" s="19" t="s">
        <v>458</v>
      </c>
      <c r="AR111" s="19" t="s">
        <v>458</v>
      </c>
      <c r="AS111" s="19" t="s">
        <v>458</v>
      </c>
      <c r="AT111" s="19" t="s">
        <v>458</v>
      </c>
      <c r="AU111" s="19" t="s">
        <v>458</v>
      </c>
      <c r="AV111" s="19" t="s">
        <v>458</v>
      </c>
      <c r="AW111" s="19" t="s">
        <v>458</v>
      </c>
      <c r="AX111" s="19" t="s">
        <v>458</v>
      </c>
      <c r="AY111" s="19" t="s">
        <v>458</v>
      </c>
      <c r="AZ111" s="19" t="s">
        <v>458</v>
      </c>
      <c r="BA111" s="19" t="s">
        <v>458</v>
      </c>
      <c r="BB111" s="19" t="s">
        <v>458</v>
      </c>
      <c r="BC111" s="19" t="s">
        <v>458</v>
      </c>
      <c r="BD111" s="19" t="s">
        <v>458</v>
      </c>
      <c r="BE111" s="19"/>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row>
    <row r="112" spans="1:100" x14ac:dyDescent="0.2">
      <c r="A112" s="21">
        <v>19</v>
      </c>
      <c r="B112" s="29" t="s">
        <v>361</v>
      </c>
      <c r="C112" s="8" t="s">
        <v>75</v>
      </c>
      <c r="D112" s="5">
        <v>23.60249</v>
      </c>
      <c r="E112" s="5">
        <v>29.39958</v>
      </c>
      <c r="F112" s="5">
        <v>33.954450000000001</v>
      </c>
      <c r="G112" s="5">
        <v>41.614910000000002</v>
      </c>
      <c r="H112" s="5">
        <v>48.033119999999997</v>
      </c>
      <c r="I112" s="5">
        <v>54.658380000000001</v>
      </c>
      <c r="J112" s="5">
        <v>61.490679999999998</v>
      </c>
      <c r="K112" s="5">
        <v>68.322980000000001</v>
      </c>
      <c r="L112" s="5">
        <v>74.120080000000002</v>
      </c>
      <c r="M112" s="5">
        <v>78.881990000000002</v>
      </c>
      <c r="N112" s="5">
        <v>85.300210000000007</v>
      </c>
      <c r="O112" s="5" t="s">
        <v>458</v>
      </c>
      <c r="P112" s="5" t="s">
        <v>458</v>
      </c>
      <c r="Q112" s="5" t="s">
        <v>458</v>
      </c>
      <c r="R112" s="5" t="s">
        <v>458</v>
      </c>
      <c r="S112" s="5" t="s">
        <v>458</v>
      </c>
      <c r="T112" s="5" t="s">
        <v>458</v>
      </c>
      <c r="U112" s="5" t="s">
        <v>458</v>
      </c>
      <c r="V112" s="5" t="s">
        <v>458</v>
      </c>
      <c r="W112" s="5" t="s">
        <v>458</v>
      </c>
      <c r="X112" s="5" t="s">
        <v>458</v>
      </c>
      <c r="Y112" s="5" t="s">
        <v>458</v>
      </c>
      <c r="Z112" s="5" t="s">
        <v>458</v>
      </c>
      <c r="AA112" s="5" t="s">
        <v>458</v>
      </c>
      <c r="AB112" s="5" t="s">
        <v>458</v>
      </c>
      <c r="AC112" s="5" t="s">
        <v>458</v>
      </c>
      <c r="AD112" s="5" t="s">
        <v>458</v>
      </c>
      <c r="AE112" s="5" t="s">
        <v>458</v>
      </c>
      <c r="AF112" s="5" t="s">
        <v>458</v>
      </c>
      <c r="AG112" s="5" t="s">
        <v>458</v>
      </c>
      <c r="AH112" s="5" t="s">
        <v>458</v>
      </c>
      <c r="AI112" s="5" t="s">
        <v>458</v>
      </c>
      <c r="AJ112" s="5" t="s">
        <v>458</v>
      </c>
      <c r="AK112" s="5" t="s">
        <v>458</v>
      </c>
      <c r="AL112" s="5" t="s">
        <v>458</v>
      </c>
      <c r="AM112" s="5" t="s">
        <v>458</v>
      </c>
      <c r="AN112" s="5" t="s">
        <v>458</v>
      </c>
      <c r="AO112" s="5" t="s">
        <v>458</v>
      </c>
      <c r="AP112" s="5" t="s">
        <v>458</v>
      </c>
      <c r="AQ112" s="5" t="s">
        <v>458</v>
      </c>
      <c r="AR112" s="5" t="s">
        <v>458</v>
      </c>
      <c r="AS112" s="5" t="s">
        <v>458</v>
      </c>
      <c r="AT112" s="5" t="s">
        <v>458</v>
      </c>
      <c r="AU112" s="5" t="s">
        <v>458</v>
      </c>
      <c r="AV112" s="5" t="s">
        <v>458</v>
      </c>
      <c r="AW112" s="5" t="s">
        <v>458</v>
      </c>
      <c r="AX112" s="5" t="s">
        <v>458</v>
      </c>
      <c r="AY112" s="5" t="s">
        <v>458</v>
      </c>
      <c r="AZ112" s="5" t="s">
        <v>458</v>
      </c>
      <c r="BA112" s="5" t="s">
        <v>458</v>
      </c>
      <c r="BB112" s="5" t="s">
        <v>458</v>
      </c>
      <c r="BC112" s="5" t="s">
        <v>458</v>
      </c>
      <c r="BD112" s="5" t="s">
        <v>458</v>
      </c>
      <c r="BE112" s="5"/>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row>
    <row r="113" spans="1:100" x14ac:dyDescent="0.2">
      <c r="A113" s="21">
        <v>19</v>
      </c>
      <c r="B113" s="29" t="s">
        <v>365</v>
      </c>
      <c r="C113" s="8" t="s">
        <v>76</v>
      </c>
      <c r="D113" s="5">
        <v>2.48447</v>
      </c>
      <c r="E113" s="5">
        <v>2.6915100000000001</v>
      </c>
      <c r="F113" s="5">
        <v>2.8985500000000002</v>
      </c>
      <c r="G113" s="5">
        <v>2.8985500000000002</v>
      </c>
      <c r="H113" s="5">
        <v>3.1055899999999999</v>
      </c>
      <c r="I113" s="5">
        <v>3.51966</v>
      </c>
      <c r="J113" s="5">
        <v>3.31263</v>
      </c>
      <c r="K113" s="5">
        <v>3.7267100000000002</v>
      </c>
      <c r="L113" s="5">
        <v>3.51966</v>
      </c>
      <c r="M113" s="5">
        <v>3.7267100000000002</v>
      </c>
      <c r="N113" s="5" t="s">
        <v>458</v>
      </c>
      <c r="O113" s="5" t="s">
        <v>458</v>
      </c>
      <c r="P113" t="s">
        <v>458</v>
      </c>
      <c r="Q113" s="5" t="s">
        <v>458</v>
      </c>
      <c r="R113" s="5" t="s">
        <v>458</v>
      </c>
      <c r="S113" s="5" t="s">
        <v>458</v>
      </c>
      <c r="T113" s="5" t="s">
        <v>458</v>
      </c>
      <c r="U113" s="5" t="s">
        <v>458</v>
      </c>
      <c r="V113" s="5" t="s">
        <v>458</v>
      </c>
      <c r="W113" s="5" t="s">
        <v>458</v>
      </c>
      <c r="X113" s="5" t="s">
        <v>458</v>
      </c>
      <c r="Y113" s="5" t="s">
        <v>458</v>
      </c>
      <c r="Z113" s="5" t="s">
        <v>458</v>
      </c>
      <c r="AA113" s="5" t="s">
        <v>458</v>
      </c>
      <c r="AB113" s="5" t="s">
        <v>458</v>
      </c>
      <c r="AC113" s="5" t="s">
        <v>458</v>
      </c>
      <c r="AD113" s="5" t="s">
        <v>458</v>
      </c>
      <c r="AE113" s="5" t="s">
        <v>458</v>
      </c>
      <c r="AF113" s="5" t="s">
        <v>458</v>
      </c>
      <c r="AG113" s="5" t="s">
        <v>458</v>
      </c>
      <c r="AH113" s="5" t="s">
        <v>458</v>
      </c>
      <c r="AI113" s="5" t="s">
        <v>458</v>
      </c>
      <c r="AJ113" s="5" t="s">
        <v>458</v>
      </c>
      <c r="AK113" s="5" t="s">
        <v>458</v>
      </c>
      <c r="AL113" s="5" t="s">
        <v>458</v>
      </c>
      <c r="AM113" s="5" t="s">
        <v>458</v>
      </c>
      <c r="AN113" s="5" t="s">
        <v>458</v>
      </c>
      <c r="AO113" s="5" t="s">
        <v>458</v>
      </c>
      <c r="AP113" s="5" t="s">
        <v>458</v>
      </c>
      <c r="AQ113" s="5" t="s">
        <v>458</v>
      </c>
      <c r="AR113" s="5" t="s">
        <v>458</v>
      </c>
      <c r="AS113" s="5" t="s">
        <v>458</v>
      </c>
      <c r="AT113" s="5" t="s">
        <v>458</v>
      </c>
      <c r="AU113" s="5" t="s">
        <v>458</v>
      </c>
      <c r="AV113" s="5" t="s">
        <v>458</v>
      </c>
      <c r="AW113" s="5" t="s">
        <v>458</v>
      </c>
      <c r="AX113" s="5" t="s">
        <v>458</v>
      </c>
      <c r="AY113" s="5" t="s">
        <v>458</v>
      </c>
      <c r="AZ113" s="5" t="s">
        <v>458</v>
      </c>
      <c r="BA113" s="5" t="s">
        <v>458</v>
      </c>
      <c r="BB113" s="5" t="s">
        <v>458</v>
      </c>
      <c r="BC113" s="5" t="s">
        <v>458</v>
      </c>
      <c r="BD113" s="5" t="s">
        <v>458</v>
      </c>
      <c r="BE113" s="5"/>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row>
    <row r="114" spans="1:100" x14ac:dyDescent="0.2">
      <c r="A114" s="21">
        <v>19</v>
      </c>
      <c r="B114" s="29">
        <v>2</v>
      </c>
      <c r="C114" s="8" t="s">
        <v>77</v>
      </c>
      <c r="D114" s="5">
        <v>29.491530000000001</v>
      </c>
      <c r="E114" s="5">
        <v>41.016950000000001</v>
      </c>
      <c r="F114" s="5">
        <v>49.830509999999997</v>
      </c>
      <c r="G114" s="5">
        <v>61.016950000000001</v>
      </c>
      <c r="H114" s="5">
        <v>71.864410000000007</v>
      </c>
      <c r="I114" s="5">
        <v>82.711860000000001</v>
      </c>
      <c r="J114" s="5">
        <v>91.52543</v>
      </c>
      <c r="K114" s="5">
        <v>99.677970000000002</v>
      </c>
      <c r="L114" s="5">
        <v>99.755930000000006</v>
      </c>
      <c r="M114" s="5">
        <v>99.877970000000005</v>
      </c>
      <c r="N114" s="5">
        <v>100</v>
      </c>
      <c r="O114" s="5" t="s">
        <v>458</v>
      </c>
      <c r="P114" s="5" t="s">
        <v>458</v>
      </c>
      <c r="Q114" s="5" t="s">
        <v>458</v>
      </c>
      <c r="R114" s="5" t="s">
        <v>458</v>
      </c>
      <c r="S114" s="5" t="s">
        <v>458</v>
      </c>
      <c r="T114" s="5" t="s">
        <v>458</v>
      </c>
      <c r="U114" s="5" t="s">
        <v>458</v>
      </c>
      <c r="V114" s="5" t="s">
        <v>458</v>
      </c>
      <c r="W114" s="5" t="s">
        <v>458</v>
      </c>
      <c r="X114" s="5" t="s">
        <v>458</v>
      </c>
      <c r="Y114" s="5" t="s">
        <v>458</v>
      </c>
      <c r="Z114" s="5" t="s">
        <v>458</v>
      </c>
      <c r="AA114" s="5" t="s">
        <v>458</v>
      </c>
      <c r="AB114" s="5" t="s">
        <v>458</v>
      </c>
      <c r="AC114" s="5" t="s">
        <v>458</v>
      </c>
      <c r="AD114" s="5" t="s">
        <v>458</v>
      </c>
      <c r="AE114" s="5" t="s">
        <v>458</v>
      </c>
      <c r="AF114" s="5" t="s">
        <v>458</v>
      </c>
      <c r="AG114" s="5" t="s">
        <v>458</v>
      </c>
      <c r="AH114" s="5" t="s">
        <v>458</v>
      </c>
      <c r="AI114" s="5" t="s">
        <v>458</v>
      </c>
      <c r="AJ114" s="5" t="s">
        <v>458</v>
      </c>
      <c r="AK114" s="5" t="s">
        <v>458</v>
      </c>
      <c r="AL114" s="5" t="s">
        <v>458</v>
      </c>
      <c r="AM114" s="5" t="s">
        <v>458</v>
      </c>
      <c r="AN114" s="5" t="s">
        <v>458</v>
      </c>
      <c r="AO114" s="5" t="s">
        <v>458</v>
      </c>
      <c r="AP114" s="5" t="s">
        <v>458</v>
      </c>
      <c r="AQ114" s="5" t="s">
        <v>458</v>
      </c>
      <c r="AR114" s="5" t="s">
        <v>458</v>
      </c>
      <c r="AS114" s="5" t="s">
        <v>458</v>
      </c>
      <c r="AT114" s="5" t="s">
        <v>458</v>
      </c>
      <c r="AU114" s="5" t="s">
        <v>458</v>
      </c>
      <c r="AV114" s="5" t="s">
        <v>458</v>
      </c>
      <c r="AW114" s="5" t="s">
        <v>458</v>
      </c>
      <c r="AX114" s="5" t="s">
        <v>458</v>
      </c>
      <c r="AY114" s="5" t="s">
        <v>458</v>
      </c>
      <c r="AZ114" s="5" t="s">
        <v>458</v>
      </c>
      <c r="BA114" s="5" t="s">
        <v>458</v>
      </c>
      <c r="BB114" s="5" t="s">
        <v>458</v>
      </c>
      <c r="BC114" s="5" t="s">
        <v>458</v>
      </c>
      <c r="BD114" s="5" t="s">
        <v>458</v>
      </c>
      <c r="BE114" s="5"/>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row>
    <row r="115" spans="1:100" x14ac:dyDescent="0.2">
      <c r="A115" s="21">
        <v>19</v>
      </c>
      <c r="B115" s="29">
        <v>3</v>
      </c>
      <c r="C115" s="8" t="s">
        <v>78</v>
      </c>
      <c r="D115" s="5">
        <v>25.762709999999998</v>
      </c>
      <c r="E115" s="5">
        <v>37.627119999999998</v>
      </c>
      <c r="F115" s="5">
        <v>54.576279999999997</v>
      </c>
      <c r="G115" s="5">
        <v>61.016950000000001</v>
      </c>
      <c r="H115" s="5">
        <v>69.152540000000002</v>
      </c>
      <c r="I115" s="5">
        <v>74.91525</v>
      </c>
      <c r="J115" s="5">
        <v>77.288139999999999</v>
      </c>
      <c r="K115" s="5">
        <v>85.423730000000006</v>
      </c>
      <c r="L115" s="5">
        <v>92.542370000000005</v>
      </c>
      <c r="M115" s="5">
        <v>98.305080000000004</v>
      </c>
      <c r="N115" s="5">
        <v>99.694919999999996</v>
      </c>
      <c r="O115" s="5">
        <v>100</v>
      </c>
      <c r="P115" s="5" t="s">
        <v>458</v>
      </c>
      <c r="Q115" s="5" t="s">
        <v>458</v>
      </c>
      <c r="R115" s="5" t="s">
        <v>458</v>
      </c>
      <c r="S115" s="5" t="s">
        <v>458</v>
      </c>
      <c r="T115" s="5" t="s">
        <v>458</v>
      </c>
      <c r="U115" s="5" t="s">
        <v>458</v>
      </c>
      <c r="V115" s="5" t="s">
        <v>458</v>
      </c>
      <c r="W115" s="5" t="s">
        <v>458</v>
      </c>
      <c r="X115" s="5" t="s">
        <v>458</v>
      </c>
      <c r="Y115" s="5" t="s">
        <v>458</v>
      </c>
      <c r="Z115" s="5" t="s">
        <v>458</v>
      </c>
      <c r="AA115" s="5" t="s">
        <v>458</v>
      </c>
      <c r="AB115" s="5" t="s">
        <v>458</v>
      </c>
      <c r="AC115" s="5" t="s">
        <v>458</v>
      </c>
      <c r="AD115" s="5" t="s">
        <v>458</v>
      </c>
      <c r="AE115" s="5" t="s">
        <v>458</v>
      </c>
      <c r="AF115" s="5" t="s">
        <v>458</v>
      </c>
      <c r="AG115" s="5" t="s">
        <v>458</v>
      </c>
      <c r="AH115" s="5" t="s">
        <v>458</v>
      </c>
      <c r="AI115" s="5" t="s">
        <v>458</v>
      </c>
      <c r="AJ115" s="5" t="s">
        <v>458</v>
      </c>
      <c r="AK115" s="5" t="s">
        <v>458</v>
      </c>
      <c r="AL115" s="5" t="s">
        <v>458</v>
      </c>
      <c r="AM115" s="5" t="s">
        <v>458</v>
      </c>
      <c r="AN115" s="5" t="s">
        <v>458</v>
      </c>
      <c r="AO115" s="5" t="s">
        <v>458</v>
      </c>
      <c r="AP115" s="5" t="s">
        <v>458</v>
      </c>
      <c r="AQ115" s="5" t="s">
        <v>458</v>
      </c>
      <c r="AR115" s="5" t="s">
        <v>458</v>
      </c>
      <c r="AS115" s="5" t="s">
        <v>458</v>
      </c>
      <c r="AT115" s="5" t="s">
        <v>458</v>
      </c>
      <c r="AU115" s="5" t="s">
        <v>458</v>
      </c>
      <c r="AV115" s="5" t="s">
        <v>458</v>
      </c>
      <c r="AW115" s="5" t="s">
        <v>458</v>
      </c>
      <c r="AX115" s="5" t="s">
        <v>458</v>
      </c>
      <c r="AY115" s="5" t="s">
        <v>458</v>
      </c>
      <c r="AZ115" s="5" t="s">
        <v>458</v>
      </c>
      <c r="BA115" s="5" t="s">
        <v>458</v>
      </c>
      <c r="BB115" s="5" t="s">
        <v>458</v>
      </c>
      <c r="BC115" s="5" t="s">
        <v>458</v>
      </c>
      <c r="BD115" s="5" t="s">
        <v>458</v>
      </c>
      <c r="BE115" s="5"/>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row>
    <row r="116" spans="1:100" x14ac:dyDescent="0.2">
      <c r="A116" s="21">
        <v>19</v>
      </c>
      <c r="B116" s="29">
        <v>4</v>
      </c>
      <c r="C116" s="8" t="s">
        <v>79</v>
      </c>
      <c r="D116" s="5">
        <v>24.406780000000001</v>
      </c>
      <c r="E116" s="5">
        <v>44.067799999999998</v>
      </c>
      <c r="F116" s="5">
        <v>54.915260000000004</v>
      </c>
      <c r="G116" s="5">
        <v>64.745760000000004</v>
      </c>
      <c r="H116" s="5">
        <v>73.220339999999993</v>
      </c>
      <c r="I116" s="5">
        <v>85.08475</v>
      </c>
      <c r="J116" s="5">
        <v>88.474580000000003</v>
      </c>
      <c r="K116" s="5">
        <v>93.220339999999993</v>
      </c>
      <c r="L116" s="5">
        <v>97.288139999999999</v>
      </c>
      <c r="M116" s="5">
        <v>100</v>
      </c>
      <c r="N116" s="5" t="s">
        <v>458</v>
      </c>
      <c r="O116" s="5" t="s">
        <v>458</v>
      </c>
      <c r="P116" s="5" t="s">
        <v>458</v>
      </c>
      <c r="Q116" s="5" t="s">
        <v>458</v>
      </c>
      <c r="R116" s="5" t="s">
        <v>458</v>
      </c>
      <c r="S116" s="5" t="s">
        <v>458</v>
      </c>
      <c r="T116" s="5" t="s">
        <v>458</v>
      </c>
      <c r="U116" s="5" t="s">
        <v>458</v>
      </c>
      <c r="V116" s="5" t="s">
        <v>458</v>
      </c>
      <c r="W116" s="5" t="s">
        <v>458</v>
      </c>
      <c r="X116" s="5" t="s">
        <v>458</v>
      </c>
      <c r="Y116" s="5" t="s">
        <v>458</v>
      </c>
      <c r="Z116" s="5" t="s">
        <v>458</v>
      </c>
      <c r="AA116" s="5" t="s">
        <v>458</v>
      </c>
      <c r="AB116" s="5" t="s">
        <v>458</v>
      </c>
      <c r="AC116" s="5" t="s">
        <v>458</v>
      </c>
      <c r="AD116" s="5" t="s">
        <v>458</v>
      </c>
      <c r="AE116" s="5" t="s">
        <v>458</v>
      </c>
      <c r="AF116" s="5" t="s">
        <v>458</v>
      </c>
      <c r="AG116" s="5" t="s">
        <v>458</v>
      </c>
      <c r="AH116" s="5" t="s">
        <v>458</v>
      </c>
      <c r="AI116" s="5" t="s">
        <v>458</v>
      </c>
      <c r="AJ116" s="5" t="s">
        <v>458</v>
      </c>
      <c r="AK116" s="5" t="s">
        <v>458</v>
      </c>
      <c r="AL116" s="5" t="s">
        <v>458</v>
      </c>
      <c r="AM116" s="5" t="s">
        <v>458</v>
      </c>
      <c r="AN116" s="5" t="s">
        <v>458</v>
      </c>
      <c r="AO116" s="5" t="s">
        <v>458</v>
      </c>
      <c r="AP116" s="5" t="s">
        <v>458</v>
      </c>
      <c r="AQ116" s="5" t="s">
        <v>458</v>
      </c>
      <c r="AR116" s="5" t="s">
        <v>458</v>
      </c>
      <c r="AS116" s="5" t="s">
        <v>458</v>
      </c>
      <c r="AT116" s="5" t="s">
        <v>458</v>
      </c>
      <c r="AU116" s="5" t="s">
        <v>458</v>
      </c>
      <c r="AV116" s="5" t="s">
        <v>458</v>
      </c>
      <c r="AW116" s="5" t="s">
        <v>458</v>
      </c>
      <c r="AX116" s="5" t="s">
        <v>458</v>
      </c>
      <c r="AY116" s="5" t="s">
        <v>458</v>
      </c>
      <c r="AZ116" s="5" t="s">
        <v>458</v>
      </c>
      <c r="BA116" s="5" t="s">
        <v>458</v>
      </c>
      <c r="BB116" s="5" t="s">
        <v>458</v>
      </c>
      <c r="BC116" s="5" t="s">
        <v>458</v>
      </c>
      <c r="BD116" s="5" t="s">
        <v>458</v>
      </c>
      <c r="BE116" s="5"/>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row>
    <row r="117" spans="1:100" x14ac:dyDescent="0.2">
      <c r="A117" s="21">
        <v>19</v>
      </c>
      <c r="B117" s="29">
        <v>5</v>
      </c>
      <c r="C117" s="8" t="s">
        <v>80</v>
      </c>
      <c r="D117" s="5">
        <v>10.544219999999999</v>
      </c>
      <c r="E117" s="5">
        <v>20.7483</v>
      </c>
      <c r="F117" s="5">
        <v>27.551020000000001</v>
      </c>
      <c r="G117" s="5">
        <v>35.374139999999997</v>
      </c>
      <c r="H117" s="5">
        <v>41.836739999999999</v>
      </c>
      <c r="I117" s="5">
        <v>46.938769999999998</v>
      </c>
      <c r="J117" s="5">
        <v>53.401359999999997</v>
      </c>
      <c r="K117" s="5">
        <v>60.204079999999998</v>
      </c>
      <c r="L117" s="5">
        <v>67.687060000000002</v>
      </c>
      <c r="M117" s="5">
        <v>75.170060000000007</v>
      </c>
      <c r="N117" s="5">
        <v>81.632649999999998</v>
      </c>
      <c r="O117" s="5">
        <v>85.37415</v>
      </c>
      <c r="P117" s="5">
        <v>91.156450000000007</v>
      </c>
      <c r="Q117" s="5">
        <v>95.578230000000005</v>
      </c>
      <c r="R117" s="5">
        <v>99.659850000000006</v>
      </c>
      <c r="S117" s="5">
        <v>100</v>
      </c>
      <c r="T117" s="5" t="s">
        <v>458</v>
      </c>
      <c r="U117" s="5" t="s">
        <v>458</v>
      </c>
      <c r="V117" s="5" t="s">
        <v>458</v>
      </c>
      <c r="W117" s="5" t="s">
        <v>458</v>
      </c>
      <c r="X117" s="5" t="s">
        <v>458</v>
      </c>
      <c r="Y117" s="5" t="s">
        <v>458</v>
      </c>
      <c r="Z117" s="5" t="s">
        <v>458</v>
      </c>
      <c r="AA117" s="5" t="s">
        <v>458</v>
      </c>
      <c r="AB117" s="5" t="s">
        <v>458</v>
      </c>
      <c r="AC117" s="5" t="s">
        <v>458</v>
      </c>
      <c r="AD117" s="5" t="s">
        <v>458</v>
      </c>
      <c r="AE117" s="5" t="s">
        <v>458</v>
      </c>
      <c r="AF117" s="5" t="s">
        <v>458</v>
      </c>
      <c r="AG117" s="5" t="s">
        <v>458</v>
      </c>
      <c r="AH117" s="5" t="s">
        <v>458</v>
      </c>
      <c r="AI117" s="5" t="s">
        <v>458</v>
      </c>
      <c r="AJ117" s="5" t="s">
        <v>458</v>
      </c>
      <c r="AK117" s="5" t="s">
        <v>458</v>
      </c>
      <c r="AL117" s="5" t="s">
        <v>458</v>
      </c>
      <c r="AM117" s="5" t="s">
        <v>458</v>
      </c>
      <c r="AN117" s="5" t="s">
        <v>458</v>
      </c>
      <c r="AO117" s="5" t="s">
        <v>458</v>
      </c>
      <c r="AP117" s="5" t="s">
        <v>458</v>
      </c>
      <c r="AQ117" s="5" t="s">
        <v>458</v>
      </c>
      <c r="AR117" s="5" t="s">
        <v>458</v>
      </c>
      <c r="AS117" s="5" t="s">
        <v>458</v>
      </c>
      <c r="AT117" s="5" t="s">
        <v>458</v>
      </c>
      <c r="AU117" s="5" t="s">
        <v>458</v>
      </c>
      <c r="AV117" s="5" t="s">
        <v>458</v>
      </c>
      <c r="AW117" s="5" t="s">
        <v>458</v>
      </c>
      <c r="AX117" s="5" t="s">
        <v>458</v>
      </c>
      <c r="AY117" s="5" t="s">
        <v>458</v>
      </c>
      <c r="AZ117" s="5" t="s">
        <v>458</v>
      </c>
      <c r="BA117" s="5" t="s">
        <v>458</v>
      </c>
      <c r="BB117" s="5" t="s">
        <v>458</v>
      </c>
      <c r="BC117" s="5" t="s">
        <v>458</v>
      </c>
      <c r="BD117" s="5" t="s">
        <v>458</v>
      </c>
      <c r="BE117" s="5"/>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row>
    <row r="118" spans="1:100" x14ac:dyDescent="0.2">
      <c r="A118" s="21">
        <v>19</v>
      </c>
      <c r="B118" s="29">
        <v>6</v>
      </c>
      <c r="C118" s="8" t="s">
        <v>81</v>
      </c>
      <c r="D118" s="5">
        <v>4.4217700000000004</v>
      </c>
      <c r="E118" s="5">
        <v>8.5033999999999992</v>
      </c>
      <c r="F118" s="5">
        <v>16.66667</v>
      </c>
      <c r="G118" s="5">
        <v>22.108840000000001</v>
      </c>
      <c r="H118" s="5">
        <v>28.911570000000001</v>
      </c>
      <c r="I118" s="5">
        <v>36.05442</v>
      </c>
      <c r="J118" s="5">
        <v>42.857140000000001</v>
      </c>
      <c r="K118" s="5">
        <v>50.680259999999997</v>
      </c>
      <c r="L118" s="5">
        <v>57.142859999999999</v>
      </c>
      <c r="M118" s="5">
        <v>70.408159999999995</v>
      </c>
      <c r="N118" s="5">
        <v>71.088430000000002</v>
      </c>
      <c r="O118" s="5">
        <v>77.210880000000003</v>
      </c>
      <c r="P118" s="5">
        <v>81.632649999999998</v>
      </c>
      <c r="Q118" s="5">
        <v>86.054410000000004</v>
      </c>
      <c r="R118" s="5">
        <v>88.095230000000001</v>
      </c>
      <c r="S118" s="5" t="s">
        <v>458</v>
      </c>
      <c r="T118" s="5" t="s">
        <v>458</v>
      </c>
      <c r="U118" s="5" t="s">
        <v>458</v>
      </c>
      <c r="V118" s="5" t="s">
        <v>458</v>
      </c>
      <c r="W118" s="5" t="s">
        <v>458</v>
      </c>
      <c r="X118" s="5" t="s">
        <v>458</v>
      </c>
      <c r="Y118" s="5" t="s">
        <v>458</v>
      </c>
      <c r="Z118" s="5" t="s">
        <v>458</v>
      </c>
      <c r="AA118" s="5" t="s">
        <v>458</v>
      </c>
      <c r="AB118" s="5" t="s">
        <v>458</v>
      </c>
      <c r="AC118" s="5" t="s">
        <v>458</v>
      </c>
      <c r="AD118" s="5" t="s">
        <v>458</v>
      </c>
      <c r="AE118" s="5" t="s">
        <v>458</v>
      </c>
      <c r="AF118" s="5" t="s">
        <v>458</v>
      </c>
      <c r="AG118" s="5" t="s">
        <v>458</v>
      </c>
      <c r="AH118" s="5" t="s">
        <v>458</v>
      </c>
      <c r="AI118" s="5" t="s">
        <v>458</v>
      </c>
      <c r="AJ118" s="5" t="s">
        <v>458</v>
      </c>
      <c r="AK118" s="5" t="s">
        <v>458</v>
      </c>
      <c r="AL118" s="5" t="s">
        <v>458</v>
      </c>
      <c r="AM118" s="5" t="s">
        <v>458</v>
      </c>
      <c r="AN118" s="5" t="s">
        <v>458</v>
      </c>
      <c r="AO118" s="5" t="s">
        <v>458</v>
      </c>
      <c r="AP118" s="5" t="s">
        <v>458</v>
      </c>
      <c r="AQ118" s="5" t="s">
        <v>458</v>
      </c>
      <c r="AR118" s="5" t="s">
        <v>458</v>
      </c>
      <c r="AS118" s="5" t="s">
        <v>458</v>
      </c>
      <c r="AT118" s="5" t="s">
        <v>458</v>
      </c>
      <c r="AU118" s="5" t="s">
        <v>458</v>
      </c>
      <c r="AV118" s="5" t="s">
        <v>458</v>
      </c>
      <c r="AW118" s="5" t="s">
        <v>458</v>
      </c>
      <c r="AX118" s="5" t="s">
        <v>458</v>
      </c>
      <c r="AY118" s="5" t="s">
        <v>458</v>
      </c>
      <c r="AZ118" s="5" t="s">
        <v>458</v>
      </c>
      <c r="BA118" s="5" t="s">
        <v>458</v>
      </c>
      <c r="BB118" s="5" t="s">
        <v>458</v>
      </c>
      <c r="BC118" s="5" t="s">
        <v>458</v>
      </c>
      <c r="BD118" s="5" t="s">
        <v>458</v>
      </c>
      <c r="BE118" s="5"/>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row>
    <row r="119" spans="1:100" s="18" customFormat="1" x14ac:dyDescent="0.2">
      <c r="A119" s="23">
        <v>19</v>
      </c>
      <c r="B119" s="30">
        <v>7</v>
      </c>
      <c r="C119" s="342" t="s">
        <v>82</v>
      </c>
      <c r="D119" s="19">
        <v>1.70068</v>
      </c>
      <c r="E119" s="19">
        <v>5.7823000000000002</v>
      </c>
      <c r="F119" s="19">
        <v>11.56462</v>
      </c>
      <c r="G119" s="19">
        <v>19.727889999999999</v>
      </c>
      <c r="H119" s="19">
        <v>20.7483</v>
      </c>
      <c r="I119" s="19">
        <v>23.469390000000001</v>
      </c>
      <c r="J119" s="19">
        <v>26.870740000000001</v>
      </c>
      <c r="K119" s="19">
        <v>29.93197</v>
      </c>
      <c r="L119" s="19" t="s">
        <v>458</v>
      </c>
      <c r="M119" s="19" t="s">
        <v>458</v>
      </c>
      <c r="N119" s="19" t="s">
        <v>458</v>
      </c>
      <c r="O119" s="19" t="s">
        <v>458</v>
      </c>
      <c r="P119" s="19" t="s">
        <v>458</v>
      </c>
      <c r="Q119" s="19" t="s">
        <v>458</v>
      </c>
      <c r="R119" s="19" t="s">
        <v>458</v>
      </c>
      <c r="S119" s="19" t="s">
        <v>458</v>
      </c>
      <c r="T119" s="19" t="s">
        <v>458</v>
      </c>
      <c r="U119" s="19" t="s">
        <v>458</v>
      </c>
      <c r="V119" s="19" t="s">
        <v>458</v>
      </c>
      <c r="W119" s="19" t="s">
        <v>458</v>
      </c>
      <c r="X119" s="19" t="s">
        <v>458</v>
      </c>
      <c r="Y119" s="19" t="s">
        <v>458</v>
      </c>
      <c r="Z119" s="19" t="s">
        <v>458</v>
      </c>
      <c r="AA119" s="19" t="s">
        <v>458</v>
      </c>
      <c r="AB119" s="19" t="s">
        <v>458</v>
      </c>
      <c r="AC119" s="19" t="s">
        <v>458</v>
      </c>
      <c r="AD119" s="19" t="s">
        <v>458</v>
      </c>
      <c r="AE119" s="19" t="s">
        <v>458</v>
      </c>
      <c r="AF119" s="19" t="s">
        <v>458</v>
      </c>
      <c r="AG119" s="19" t="s">
        <v>458</v>
      </c>
      <c r="AH119" s="19" t="s">
        <v>458</v>
      </c>
      <c r="AI119" s="19" t="s">
        <v>458</v>
      </c>
      <c r="AJ119" s="19" t="s">
        <v>458</v>
      </c>
      <c r="AK119" s="19" t="s">
        <v>458</v>
      </c>
      <c r="AL119" s="19" t="s">
        <v>458</v>
      </c>
      <c r="AM119" s="19" t="s">
        <v>458</v>
      </c>
      <c r="AN119" s="19" t="s">
        <v>458</v>
      </c>
      <c r="AO119" s="19" t="s">
        <v>458</v>
      </c>
      <c r="AP119" s="19" t="s">
        <v>458</v>
      </c>
      <c r="AQ119" s="19" t="s">
        <v>458</v>
      </c>
      <c r="AR119" s="19" t="s">
        <v>458</v>
      </c>
      <c r="AS119" s="19" t="s">
        <v>458</v>
      </c>
      <c r="AT119" s="19" t="s">
        <v>458</v>
      </c>
      <c r="AU119" s="19" t="s">
        <v>458</v>
      </c>
      <c r="AV119" s="19" t="s">
        <v>458</v>
      </c>
      <c r="AW119" s="19" t="s">
        <v>458</v>
      </c>
      <c r="AX119" s="19" t="s">
        <v>458</v>
      </c>
      <c r="AY119" s="19" t="s">
        <v>458</v>
      </c>
      <c r="AZ119" s="19" t="s">
        <v>458</v>
      </c>
      <c r="BA119" s="19" t="s">
        <v>458</v>
      </c>
      <c r="BB119" s="19" t="s">
        <v>458</v>
      </c>
      <c r="BC119" s="19" t="s">
        <v>458</v>
      </c>
      <c r="BD119" s="19" t="s">
        <v>458</v>
      </c>
      <c r="BE119" s="19"/>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row>
    <row r="120" spans="1:100" x14ac:dyDescent="0.2">
      <c r="A120" s="21">
        <v>20</v>
      </c>
      <c r="B120" s="29">
        <v>5</v>
      </c>
      <c r="C120" s="8" t="s">
        <v>62</v>
      </c>
      <c r="D120" s="5">
        <v>11</v>
      </c>
      <c r="E120" s="5">
        <v>23</v>
      </c>
      <c r="F120" s="5">
        <v>35</v>
      </c>
      <c r="G120" s="5" t="s">
        <v>458</v>
      </c>
      <c r="H120" s="5" t="s">
        <v>458</v>
      </c>
      <c r="I120" s="5" t="s">
        <v>458</v>
      </c>
      <c r="J120" s="5" t="s">
        <v>458</v>
      </c>
      <c r="K120" s="5" t="s">
        <v>458</v>
      </c>
      <c r="L120" s="5" t="s">
        <v>458</v>
      </c>
      <c r="M120" s="5" t="s">
        <v>458</v>
      </c>
      <c r="N120" s="5" t="s">
        <v>458</v>
      </c>
      <c r="O120" s="5" t="s">
        <v>458</v>
      </c>
      <c r="P120" s="5" t="s">
        <v>458</v>
      </c>
      <c r="Q120" s="5" t="s">
        <v>458</v>
      </c>
      <c r="R120" s="5" t="s">
        <v>458</v>
      </c>
      <c r="S120" s="5" t="s">
        <v>458</v>
      </c>
      <c r="T120" s="5" t="s">
        <v>458</v>
      </c>
      <c r="U120" s="5" t="s">
        <v>458</v>
      </c>
      <c r="V120" s="5" t="s">
        <v>458</v>
      </c>
      <c r="W120" s="5" t="s">
        <v>458</v>
      </c>
      <c r="X120" s="5" t="s">
        <v>458</v>
      </c>
      <c r="Y120" s="5" t="s">
        <v>458</v>
      </c>
      <c r="Z120" s="5" t="s">
        <v>458</v>
      </c>
      <c r="AA120" s="5" t="s">
        <v>458</v>
      </c>
      <c r="AB120" s="5" t="s">
        <v>458</v>
      </c>
      <c r="AC120" s="5" t="s">
        <v>458</v>
      </c>
      <c r="AD120" s="5" t="s">
        <v>458</v>
      </c>
      <c r="AE120" s="5" t="s">
        <v>458</v>
      </c>
      <c r="AF120" s="5" t="s">
        <v>458</v>
      </c>
      <c r="AG120" s="5" t="s">
        <v>458</v>
      </c>
      <c r="AH120" s="5" t="s">
        <v>458</v>
      </c>
      <c r="AI120" s="5" t="s">
        <v>458</v>
      </c>
      <c r="AJ120" s="5" t="s">
        <v>458</v>
      </c>
      <c r="AK120" s="5" t="s">
        <v>458</v>
      </c>
      <c r="AL120" s="5" t="s">
        <v>458</v>
      </c>
      <c r="AM120" s="5" t="s">
        <v>458</v>
      </c>
      <c r="AN120" s="5" t="s">
        <v>458</v>
      </c>
      <c r="AO120" s="5" t="s">
        <v>458</v>
      </c>
      <c r="AP120" s="5" t="s">
        <v>458</v>
      </c>
      <c r="AQ120" s="5" t="s">
        <v>458</v>
      </c>
      <c r="AR120" s="5" t="s">
        <v>458</v>
      </c>
      <c r="AS120" s="5" t="s">
        <v>458</v>
      </c>
      <c r="AT120" s="5" t="s">
        <v>458</v>
      </c>
      <c r="AU120" s="5" t="s">
        <v>458</v>
      </c>
      <c r="AV120" s="5" t="s">
        <v>458</v>
      </c>
      <c r="AW120" s="5" t="s">
        <v>458</v>
      </c>
      <c r="AX120" s="5" t="s">
        <v>458</v>
      </c>
      <c r="AY120" s="5" t="s">
        <v>458</v>
      </c>
      <c r="AZ120" s="5" t="s">
        <v>458</v>
      </c>
      <c r="BA120" s="5" t="s">
        <v>458</v>
      </c>
      <c r="BB120" s="5" t="s">
        <v>458</v>
      </c>
      <c r="BC120" s="5" t="s">
        <v>458</v>
      </c>
      <c r="BD120" s="5" t="s">
        <v>458</v>
      </c>
      <c r="BE120" s="5"/>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row>
    <row r="121" spans="1:100" x14ac:dyDescent="0.2">
      <c r="A121" s="21">
        <v>20</v>
      </c>
      <c r="B121" s="29">
        <v>6</v>
      </c>
      <c r="C121" s="8" t="s">
        <v>83</v>
      </c>
      <c r="D121" s="5">
        <v>11</v>
      </c>
      <c r="E121" s="5">
        <v>21</v>
      </c>
      <c r="F121" s="5">
        <v>36</v>
      </c>
      <c r="G121" s="5" t="s">
        <v>458</v>
      </c>
      <c r="H121" s="5" t="s">
        <v>458</v>
      </c>
      <c r="I121" s="5" t="s">
        <v>458</v>
      </c>
      <c r="J121" s="5" t="s">
        <v>458</v>
      </c>
      <c r="K121" s="5" t="s">
        <v>458</v>
      </c>
      <c r="L121" s="5" t="s">
        <v>458</v>
      </c>
      <c r="M121" s="5" t="s">
        <v>458</v>
      </c>
      <c r="N121" s="5" t="s">
        <v>458</v>
      </c>
      <c r="O121" s="5" t="s">
        <v>458</v>
      </c>
      <c r="P121" s="5" t="s">
        <v>458</v>
      </c>
      <c r="Q121" s="5" t="s">
        <v>458</v>
      </c>
      <c r="R121" s="5" t="s">
        <v>458</v>
      </c>
      <c r="S121" s="5" t="s">
        <v>458</v>
      </c>
      <c r="T121" s="5" t="s">
        <v>458</v>
      </c>
      <c r="U121" s="5" t="s">
        <v>458</v>
      </c>
      <c r="V121" s="5" t="s">
        <v>458</v>
      </c>
      <c r="W121" s="5" t="s">
        <v>458</v>
      </c>
      <c r="X121" s="5" t="s">
        <v>458</v>
      </c>
      <c r="Y121" s="5" t="s">
        <v>458</v>
      </c>
      <c r="Z121" s="5" t="s">
        <v>458</v>
      </c>
      <c r="AA121" s="5" t="s">
        <v>458</v>
      </c>
      <c r="AB121" s="5" t="s">
        <v>458</v>
      </c>
      <c r="AC121" s="5" t="s">
        <v>458</v>
      </c>
      <c r="AD121" s="5" t="s">
        <v>458</v>
      </c>
      <c r="AE121" s="5" t="s">
        <v>458</v>
      </c>
      <c r="AF121" s="5" t="s">
        <v>458</v>
      </c>
      <c r="AG121" s="5" t="s">
        <v>458</v>
      </c>
      <c r="AH121" s="5" t="s">
        <v>458</v>
      </c>
      <c r="AI121" s="5" t="s">
        <v>458</v>
      </c>
      <c r="AJ121" s="5" t="s">
        <v>458</v>
      </c>
      <c r="AK121" s="5" t="s">
        <v>458</v>
      </c>
      <c r="AL121" s="5" t="s">
        <v>458</v>
      </c>
      <c r="AM121" s="5" t="s">
        <v>458</v>
      </c>
      <c r="AN121" s="5" t="s">
        <v>458</v>
      </c>
      <c r="AO121" s="5" t="s">
        <v>458</v>
      </c>
      <c r="AP121" s="5" t="s">
        <v>458</v>
      </c>
      <c r="AQ121" s="5" t="s">
        <v>458</v>
      </c>
      <c r="AR121" s="5" t="s">
        <v>458</v>
      </c>
      <c r="AS121" s="5" t="s">
        <v>458</v>
      </c>
      <c r="AT121" s="5" t="s">
        <v>458</v>
      </c>
      <c r="AU121" s="5" t="s">
        <v>458</v>
      </c>
      <c r="AV121" s="5" t="s">
        <v>458</v>
      </c>
      <c r="AW121" s="5" t="s">
        <v>458</v>
      </c>
      <c r="AX121" s="5" t="s">
        <v>458</v>
      </c>
      <c r="AY121" s="5" t="s">
        <v>458</v>
      </c>
      <c r="AZ121" s="5" t="s">
        <v>458</v>
      </c>
      <c r="BA121" s="5" t="s">
        <v>458</v>
      </c>
      <c r="BB121" s="5" t="s">
        <v>458</v>
      </c>
      <c r="BC121" s="5" t="s">
        <v>458</v>
      </c>
      <c r="BD121" s="5" t="s">
        <v>458</v>
      </c>
      <c r="BE121" s="5"/>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row>
    <row r="122" spans="1:100" x14ac:dyDescent="0.2">
      <c r="A122" s="21">
        <v>20</v>
      </c>
      <c r="B122" s="29">
        <v>7</v>
      </c>
      <c r="C122" s="8" t="s">
        <v>84</v>
      </c>
      <c r="D122" s="5">
        <v>10</v>
      </c>
      <c r="E122" s="5">
        <v>14</v>
      </c>
      <c r="F122" s="5">
        <v>20</v>
      </c>
      <c r="G122" s="5">
        <v>38</v>
      </c>
      <c r="H122" s="5">
        <v>44</v>
      </c>
      <c r="I122" s="5" t="s">
        <v>458</v>
      </c>
      <c r="J122" s="5" t="s">
        <v>458</v>
      </c>
      <c r="K122" s="5" t="s">
        <v>458</v>
      </c>
      <c r="L122" s="5" t="s">
        <v>458</v>
      </c>
      <c r="M122" s="5" t="s">
        <v>458</v>
      </c>
      <c r="N122" s="5" t="s">
        <v>458</v>
      </c>
      <c r="O122" s="5" t="s">
        <v>458</v>
      </c>
      <c r="P122" s="5" t="s">
        <v>458</v>
      </c>
      <c r="Q122" s="5" t="s">
        <v>458</v>
      </c>
      <c r="R122" s="5" t="s">
        <v>458</v>
      </c>
      <c r="S122" s="5" t="s">
        <v>458</v>
      </c>
      <c r="T122" s="5" t="s">
        <v>458</v>
      </c>
      <c r="U122" s="5" t="s">
        <v>458</v>
      </c>
      <c r="V122" s="5" t="s">
        <v>458</v>
      </c>
      <c r="W122" s="5" t="s">
        <v>458</v>
      </c>
      <c r="X122" s="5" t="s">
        <v>458</v>
      </c>
      <c r="Y122" s="5" t="s">
        <v>458</v>
      </c>
      <c r="Z122" s="5" t="s">
        <v>458</v>
      </c>
      <c r="AA122" s="5" t="s">
        <v>458</v>
      </c>
      <c r="AB122" s="5" t="s">
        <v>458</v>
      </c>
      <c r="AC122" s="5" t="s">
        <v>458</v>
      </c>
      <c r="AD122" s="5" t="s">
        <v>458</v>
      </c>
      <c r="AE122" s="5" t="s">
        <v>458</v>
      </c>
      <c r="AF122" s="5" t="s">
        <v>458</v>
      </c>
      <c r="AG122" s="5" t="s">
        <v>458</v>
      </c>
      <c r="AH122" s="5" t="s">
        <v>458</v>
      </c>
      <c r="AI122" s="5" t="s">
        <v>458</v>
      </c>
      <c r="AJ122" s="5" t="s">
        <v>458</v>
      </c>
      <c r="AK122" s="5" t="s">
        <v>458</v>
      </c>
      <c r="AL122" s="5" t="s">
        <v>458</v>
      </c>
      <c r="AM122" s="5" t="s">
        <v>458</v>
      </c>
      <c r="AN122" s="5" t="s">
        <v>458</v>
      </c>
      <c r="AO122" s="5" t="s">
        <v>458</v>
      </c>
      <c r="AP122" s="5" t="s">
        <v>458</v>
      </c>
      <c r="AQ122" s="5" t="s">
        <v>458</v>
      </c>
      <c r="AR122" s="5" t="s">
        <v>458</v>
      </c>
      <c r="AS122" s="5" t="s">
        <v>458</v>
      </c>
      <c r="AT122" s="5" t="s">
        <v>458</v>
      </c>
      <c r="AU122" s="5" t="s">
        <v>458</v>
      </c>
      <c r="AV122" s="5" t="s">
        <v>458</v>
      </c>
      <c r="AW122" s="5" t="s">
        <v>458</v>
      </c>
      <c r="AX122" s="5" t="s">
        <v>458</v>
      </c>
      <c r="AY122" s="5" t="s">
        <v>458</v>
      </c>
      <c r="AZ122" s="5" t="s">
        <v>458</v>
      </c>
      <c r="BA122" s="5" t="s">
        <v>458</v>
      </c>
      <c r="BB122" s="5" t="s">
        <v>458</v>
      </c>
      <c r="BC122" s="5" t="s">
        <v>458</v>
      </c>
      <c r="BD122" s="5" t="s">
        <v>458</v>
      </c>
      <c r="BE122" s="5"/>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row>
    <row r="123" spans="1:100" x14ac:dyDescent="0.2">
      <c r="A123" s="21">
        <v>20</v>
      </c>
      <c r="B123" s="29">
        <v>8</v>
      </c>
      <c r="C123" s="8" t="s">
        <v>85</v>
      </c>
      <c r="D123" s="5">
        <v>11</v>
      </c>
      <c r="E123" s="5">
        <v>16</v>
      </c>
      <c r="F123" s="5">
        <v>21</v>
      </c>
      <c r="G123" s="5">
        <v>37</v>
      </c>
      <c r="H123" s="5">
        <v>47</v>
      </c>
      <c r="I123" s="5" t="s">
        <v>458</v>
      </c>
      <c r="J123" s="5" t="s">
        <v>458</v>
      </c>
      <c r="K123" s="5" t="s">
        <v>458</v>
      </c>
      <c r="L123" s="5" t="s">
        <v>458</v>
      </c>
      <c r="M123" s="5" t="s">
        <v>458</v>
      </c>
      <c r="N123" s="5" t="s">
        <v>458</v>
      </c>
      <c r="O123" s="5" t="s">
        <v>458</v>
      </c>
      <c r="P123" s="5" t="s">
        <v>458</v>
      </c>
      <c r="Q123" s="5" t="s">
        <v>458</v>
      </c>
      <c r="R123" s="5" t="s">
        <v>458</v>
      </c>
      <c r="S123" s="5" t="s">
        <v>458</v>
      </c>
      <c r="T123" s="5" t="s">
        <v>458</v>
      </c>
      <c r="U123" s="5" t="s">
        <v>458</v>
      </c>
      <c r="V123" s="5" t="s">
        <v>458</v>
      </c>
      <c r="W123" s="5" t="s">
        <v>458</v>
      </c>
      <c r="X123" s="5" t="s">
        <v>458</v>
      </c>
      <c r="Y123" s="5" t="s">
        <v>458</v>
      </c>
      <c r="Z123" s="5" t="s">
        <v>458</v>
      </c>
      <c r="AA123" s="5" t="s">
        <v>458</v>
      </c>
      <c r="AB123" s="5" t="s">
        <v>458</v>
      </c>
      <c r="AC123" s="5" t="s">
        <v>458</v>
      </c>
      <c r="AD123" s="5" t="s">
        <v>458</v>
      </c>
      <c r="AE123" s="5" t="s">
        <v>458</v>
      </c>
      <c r="AF123" s="5" t="s">
        <v>458</v>
      </c>
      <c r="AG123" s="5" t="s">
        <v>458</v>
      </c>
      <c r="AH123" s="5" t="s">
        <v>458</v>
      </c>
      <c r="AI123" s="5" t="s">
        <v>458</v>
      </c>
      <c r="AJ123" s="5" t="s">
        <v>458</v>
      </c>
      <c r="AK123" s="5" t="s">
        <v>458</v>
      </c>
      <c r="AL123" s="5" t="s">
        <v>458</v>
      </c>
      <c r="AM123" s="5" t="s">
        <v>458</v>
      </c>
      <c r="AN123" s="5" t="s">
        <v>458</v>
      </c>
      <c r="AO123" s="5" t="s">
        <v>458</v>
      </c>
      <c r="AP123" s="5" t="s">
        <v>458</v>
      </c>
      <c r="AQ123" s="5" t="s">
        <v>458</v>
      </c>
      <c r="AR123" s="5" t="s">
        <v>458</v>
      </c>
      <c r="AS123" s="5" t="s">
        <v>458</v>
      </c>
      <c r="AT123" s="5" t="s">
        <v>458</v>
      </c>
      <c r="AU123" s="5" t="s">
        <v>458</v>
      </c>
      <c r="AV123" s="5" t="s">
        <v>458</v>
      </c>
      <c r="AW123" s="5" t="s">
        <v>458</v>
      </c>
      <c r="AX123" s="5" t="s">
        <v>458</v>
      </c>
      <c r="AY123" s="5" t="s">
        <v>458</v>
      </c>
      <c r="AZ123" s="5" t="s">
        <v>458</v>
      </c>
      <c r="BA123" s="5" t="s">
        <v>458</v>
      </c>
      <c r="BB123" s="5" t="s">
        <v>458</v>
      </c>
      <c r="BC123" s="5" t="s">
        <v>458</v>
      </c>
      <c r="BD123" s="5" t="s">
        <v>458</v>
      </c>
      <c r="BE123" s="5"/>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row>
    <row r="124" spans="1:100" x14ac:dyDescent="0.2">
      <c r="A124" s="21">
        <v>20</v>
      </c>
      <c r="B124" s="29">
        <v>9</v>
      </c>
      <c r="C124" s="8" t="s">
        <v>62</v>
      </c>
      <c r="D124" s="5">
        <v>11</v>
      </c>
      <c r="E124" s="5">
        <v>20</v>
      </c>
      <c r="F124" s="5" t="s">
        <v>458</v>
      </c>
      <c r="G124" s="5" t="s">
        <v>458</v>
      </c>
      <c r="H124" s="5" t="s">
        <v>458</v>
      </c>
      <c r="I124" s="5" t="s">
        <v>458</v>
      </c>
      <c r="J124" s="5" t="s">
        <v>458</v>
      </c>
      <c r="K124" s="5" t="s">
        <v>458</v>
      </c>
      <c r="L124" s="5" t="s">
        <v>458</v>
      </c>
      <c r="M124" s="5" t="s">
        <v>458</v>
      </c>
      <c r="N124" s="5" t="s">
        <v>458</v>
      </c>
      <c r="O124" s="5" t="s">
        <v>458</v>
      </c>
      <c r="P124" s="5" t="s">
        <v>458</v>
      </c>
      <c r="Q124" s="5" t="s">
        <v>458</v>
      </c>
      <c r="R124" s="5" t="s">
        <v>458</v>
      </c>
      <c r="S124" s="5" t="s">
        <v>458</v>
      </c>
      <c r="T124" s="5" t="s">
        <v>458</v>
      </c>
      <c r="U124" s="5" t="s">
        <v>458</v>
      </c>
      <c r="V124" s="5" t="s">
        <v>458</v>
      </c>
      <c r="W124" s="5" t="s">
        <v>458</v>
      </c>
      <c r="X124" s="5" t="s">
        <v>458</v>
      </c>
      <c r="Y124" s="5" t="s">
        <v>458</v>
      </c>
      <c r="Z124" s="5" t="s">
        <v>458</v>
      </c>
      <c r="AA124" s="5" t="s">
        <v>458</v>
      </c>
      <c r="AB124" s="5" t="s">
        <v>458</v>
      </c>
      <c r="AC124" s="5" t="s">
        <v>458</v>
      </c>
      <c r="AD124" s="5" t="s">
        <v>458</v>
      </c>
      <c r="AE124" s="5" t="s">
        <v>458</v>
      </c>
      <c r="AF124" s="5" t="s">
        <v>458</v>
      </c>
      <c r="AG124" s="5" t="s">
        <v>458</v>
      </c>
      <c r="AH124" s="5" t="s">
        <v>458</v>
      </c>
      <c r="AI124" s="5" t="s">
        <v>458</v>
      </c>
      <c r="AJ124" s="5" t="s">
        <v>458</v>
      </c>
      <c r="AK124" s="5" t="s">
        <v>458</v>
      </c>
      <c r="AL124" s="5" t="s">
        <v>458</v>
      </c>
      <c r="AM124" s="5" t="s">
        <v>458</v>
      </c>
      <c r="AN124" s="5" t="s">
        <v>458</v>
      </c>
      <c r="AO124" s="5" t="s">
        <v>458</v>
      </c>
      <c r="AP124" s="5" t="s">
        <v>458</v>
      </c>
      <c r="AQ124" s="5" t="s">
        <v>458</v>
      </c>
      <c r="AR124" s="5" t="s">
        <v>458</v>
      </c>
      <c r="AS124" s="5" t="s">
        <v>458</v>
      </c>
      <c r="AT124" s="5" t="s">
        <v>458</v>
      </c>
      <c r="AU124" s="5" t="s">
        <v>458</v>
      </c>
      <c r="AV124" s="5" t="s">
        <v>458</v>
      </c>
      <c r="AW124" s="5" t="s">
        <v>458</v>
      </c>
      <c r="AX124" s="5" t="s">
        <v>458</v>
      </c>
      <c r="AY124" s="5" t="s">
        <v>458</v>
      </c>
      <c r="AZ124" s="5" t="s">
        <v>458</v>
      </c>
      <c r="BA124" s="5" t="s">
        <v>458</v>
      </c>
      <c r="BB124" s="5" t="s">
        <v>458</v>
      </c>
      <c r="BC124" s="5" t="s">
        <v>458</v>
      </c>
      <c r="BD124" s="5" t="s">
        <v>458</v>
      </c>
      <c r="BE124" s="5"/>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row>
    <row r="125" spans="1:100" s="18" customFormat="1" x14ac:dyDescent="0.2">
      <c r="A125" s="23">
        <v>20</v>
      </c>
      <c r="B125" s="30">
        <v>10</v>
      </c>
      <c r="C125" s="342" t="s">
        <v>85</v>
      </c>
      <c r="D125" s="19">
        <v>10</v>
      </c>
      <c r="E125" s="19">
        <v>23</v>
      </c>
      <c r="F125" s="19" t="s">
        <v>458</v>
      </c>
      <c r="G125" s="19" t="s">
        <v>458</v>
      </c>
      <c r="H125" s="19" t="s">
        <v>458</v>
      </c>
      <c r="I125" s="19" t="s">
        <v>458</v>
      </c>
      <c r="J125" s="19" t="s">
        <v>458</v>
      </c>
      <c r="K125" s="19" t="s">
        <v>458</v>
      </c>
      <c r="L125" s="19" t="s">
        <v>458</v>
      </c>
      <c r="M125" s="19" t="s">
        <v>458</v>
      </c>
      <c r="N125" s="19" t="s">
        <v>458</v>
      </c>
      <c r="O125" s="19" t="s">
        <v>458</v>
      </c>
      <c r="P125" s="19" t="s">
        <v>458</v>
      </c>
      <c r="Q125" s="19" t="s">
        <v>458</v>
      </c>
      <c r="R125" s="19" t="s">
        <v>458</v>
      </c>
      <c r="S125" s="19" t="s">
        <v>458</v>
      </c>
      <c r="T125" s="19" t="s">
        <v>458</v>
      </c>
      <c r="U125" s="19" t="s">
        <v>458</v>
      </c>
      <c r="V125" s="19" t="s">
        <v>458</v>
      </c>
      <c r="W125" s="19" t="s">
        <v>458</v>
      </c>
      <c r="X125" s="19" t="s">
        <v>458</v>
      </c>
      <c r="Y125" s="19" t="s">
        <v>458</v>
      </c>
      <c r="Z125" s="19" t="s">
        <v>458</v>
      </c>
      <c r="AA125" s="19" t="s">
        <v>458</v>
      </c>
      <c r="AB125" s="19" t="s">
        <v>458</v>
      </c>
      <c r="AC125" s="19" t="s">
        <v>458</v>
      </c>
      <c r="AD125" s="19" t="s">
        <v>458</v>
      </c>
      <c r="AE125" s="19" t="s">
        <v>458</v>
      </c>
      <c r="AF125" s="19" t="s">
        <v>458</v>
      </c>
      <c r="AG125" s="19" t="s">
        <v>458</v>
      </c>
      <c r="AH125" s="19" t="s">
        <v>458</v>
      </c>
      <c r="AI125" s="19" t="s">
        <v>458</v>
      </c>
      <c r="AJ125" s="19" t="s">
        <v>458</v>
      </c>
      <c r="AK125" s="19" t="s">
        <v>458</v>
      </c>
      <c r="AL125" s="19" t="s">
        <v>458</v>
      </c>
      <c r="AM125" s="19" t="s">
        <v>458</v>
      </c>
      <c r="AN125" s="19" t="s">
        <v>458</v>
      </c>
      <c r="AO125" s="19" t="s">
        <v>458</v>
      </c>
      <c r="AP125" s="19" t="s">
        <v>458</v>
      </c>
      <c r="AQ125" s="19" t="s">
        <v>458</v>
      </c>
      <c r="AR125" s="19" t="s">
        <v>458</v>
      </c>
      <c r="AS125" s="19" t="s">
        <v>458</v>
      </c>
      <c r="AT125" s="19" t="s">
        <v>458</v>
      </c>
      <c r="AU125" s="19" t="s">
        <v>458</v>
      </c>
      <c r="AV125" s="19" t="s">
        <v>458</v>
      </c>
      <c r="AW125" s="19" t="s">
        <v>458</v>
      </c>
      <c r="AX125" s="19" t="s">
        <v>458</v>
      </c>
      <c r="AY125" s="19" t="s">
        <v>458</v>
      </c>
      <c r="AZ125" s="19" t="s">
        <v>458</v>
      </c>
      <c r="BA125" s="19" t="s">
        <v>458</v>
      </c>
      <c r="BB125" s="19" t="s">
        <v>458</v>
      </c>
      <c r="BC125" s="19" t="s">
        <v>458</v>
      </c>
      <c r="BD125" s="19" t="s">
        <v>458</v>
      </c>
      <c r="BE125" s="19"/>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row>
    <row r="126" spans="1:100" x14ac:dyDescent="0.2">
      <c r="A126" s="21">
        <v>21</v>
      </c>
      <c r="B126" s="29">
        <v>1</v>
      </c>
      <c r="C126" s="8" t="s">
        <v>29</v>
      </c>
      <c r="D126" s="5">
        <v>12.55814</v>
      </c>
      <c r="E126" s="5">
        <v>20.697679999999998</v>
      </c>
      <c r="F126" s="5">
        <v>33.023249999999997</v>
      </c>
      <c r="G126" s="5">
        <v>47.209299999999999</v>
      </c>
      <c r="H126" s="5">
        <v>60.930230000000002</v>
      </c>
      <c r="I126" s="5">
        <v>70.930229999999995</v>
      </c>
      <c r="J126" s="5">
        <v>78.139539999999997</v>
      </c>
      <c r="K126" s="5">
        <v>86.279070000000004</v>
      </c>
      <c r="L126" s="5">
        <v>97.441860000000005</v>
      </c>
      <c r="M126" s="5">
        <v>99.767439999999993</v>
      </c>
      <c r="N126" s="5">
        <v>99.767439999999993</v>
      </c>
      <c r="O126" s="5" t="s">
        <v>458</v>
      </c>
      <c r="P126" s="5" t="s">
        <v>458</v>
      </c>
      <c r="Q126" s="5" t="s">
        <v>458</v>
      </c>
      <c r="R126" s="5" t="s">
        <v>458</v>
      </c>
      <c r="S126" s="5" t="s">
        <v>458</v>
      </c>
      <c r="T126" s="5" t="s">
        <v>458</v>
      </c>
      <c r="U126" s="5" t="s">
        <v>458</v>
      </c>
      <c r="V126" s="5" t="s">
        <v>458</v>
      </c>
      <c r="W126" s="5" t="s">
        <v>458</v>
      </c>
      <c r="X126" s="5" t="s">
        <v>458</v>
      </c>
      <c r="Y126" s="5" t="s">
        <v>458</v>
      </c>
      <c r="Z126" s="5" t="s">
        <v>458</v>
      </c>
      <c r="AA126" s="5" t="s">
        <v>458</v>
      </c>
      <c r="AB126" s="5" t="s">
        <v>458</v>
      </c>
      <c r="AC126" s="5" t="s">
        <v>458</v>
      </c>
      <c r="AD126" s="5" t="s">
        <v>458</v>
      </c>
      <c r="AE126" s="5" t="s">
        <v>458</v>
      </c>
      <c r="AF126" s="5" t="s">
        <v>458</v>
      </c>
      <c r="AG126" s="5" t="s">
        <v>458</v>
      </c>
      <c r="AH126" s="5" t="s">
        <v>458</v>
      </c>
      <c r="AI126" s="5" t="s">
        <v>458</v>
      </c>
      <c r="AJ126" s="5" t="s">
        <v>458</v>
      </c>
      <c r="AK126" s="5" t="s">
        <v>458</v>
      </c>
      <c r="AL126" s="5" t="s">
        <v>458</v>
      </c>
      <c r="AM126" s="5" t="s">
        <v>458</v>
      </c>
      <c r="AN126" s="5" t="s">
        <v>458</v>
      </c>
      <c r="AO126" s="5" t="s">
        <v>458</v>
      </c>
      <c r="AP126" s="5" t="s">
        <v>458</v>
      </c>
      <c r="AQ126" s="5" t="s">
        <v>458</v>
      </c>
      <c r="AR126" s="5" t="s">
        <v>458</v>
      </c>
      <c r="AS126" s="5" t="s">
        <v>458</v>
      </c>
      <c r="AT126" s="5" t="s">
        <v>458</v>
      </c>
      <c r="AU126" s="5" t="s">
        <v>458</v>
      </c>
      <c r="AV126" s="5" t="s">
        <v>458</v>
      </c>
      <c r="AW126" s="5" t="s">
        <v>458</v>
      </c>
      <c r="AX126" s="5" t="s">
        <v>458</v>
      </c>
      <c r="AY126" s="5" t="s">
        <v>458</v>
      </c>
      <c r="AZ126" s="5" t="s">
        <v>458</v>
      </c>
      <c r="BA126" s="5" t="s">
        <v>458</v>
      </c>
      <c r="BB126" s="5" t="s">
        <v>458</v>
      </c>
      <c r="BC126" s="5" t="s">
        <v>458</v>
      </c>
      <c r="BD126" s="5" t="s">
        <v>458</v>
      </c>
      <c r="BE126" s="5"/>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row>
    <row r="127" spans="1:100" x14ac:dyDescent="0.2">
      <c r="A127" s="21">
        <v>21</v>
      </c>
      <c r="B127" s="29">
        <v>2</v>
      </c>
      <c r="C127" s="8" t="s">
        <v>86</v>
      </c>
      <c r="D127" s="5">
        <v>10</v>
      </c>
      <c r="E127" s="5">
        <v>10.93023</v>
      </c>
      <c r="F127" s="5">
        <v>35.348840000000003</v>
      </c>
      <c r="G127" s="5">
        <v>35.813960000000002</v>
      </c>
      <c r="H127" s="5">
        <v>46.511629999999997</v>
      </c>
      <c r="I127" s="5">
        <v>60</v>
      </c>
      <c r="J127" s="5">
        <v>69.302329999999998</v>
      </c>
      <c r="K127" s="5">
        <v>77.906980000000004</v>
      </c>
      <c r="L127" s="5">
        <v>86.976749999999996</v>
      </c>
      <c r="M127" s="5">
        <v>92.790700000000001</v>
      </c>
      <c r="N127" s="5">
        <v>99.534880000000001</v>
      </c>
      <c r="O127" s="5">
        <v>100</v>
      </c>
      <c r="P127" s="5" t="s">
        <v>458</v>
      </c>
      <c r="Q127" s="5" t="s">
        <v>458</v>
      </c>
      <c r="R127" s="5" t="s">
        <v>458</v>
      </c>
      <c r="S127" s="5" t="s">
        <v>458</v>
      </c>
      <c r="T127" s="5" t="s">
        <v>458</v>
      </c>
      <c r="U127" s="5" t="s">
        <v>458</v>
      </c>
      <c r="V127" s="5" t="s">
        <v>458</v>
      </c>
      <c r="W127" s="5" t="s">
        <v>458</v>
      </c>
      <c r="X127" s="5" t="s">
        <v>458</v>
      </c>
      <c r="Y127" s="5" t="s">
        <v>458</v>
      </c>
      <c r="Z127" s="5" t="s">
        <v>458</v>
      </c>
      <c r="AA127" s="5" t="s">
        <v>458</v>
      </c>
      <c r="AB127" s="5" t="s">
        <v>458</v>
      </c>
      <c r="AC127" s="5" t="s">
        <v>458</v>
      </c>
      <c r="AD127" s="5" t="s">
        <v>458</v>
      </c>
      <c r="AE127" s="5" t="s">
        <v>458</v>
      </c>
      <c r="AF127" s="5" t="s">
        <v>458</v>
      </c>
      <c r="AG127" s="5" t="s">
        <v>458</v>
      </c>
      <c r="AH127" s="5" t="s">
        <v>458</v>
      </c>
      <c r="AI127" s="5" t="s">
        <v>458</v>
      </c>
      <c r="AJ127" s="5" t="s">
        <v>458</v>
      </c>
      <c r="AK127" s="5" t="s">
        <v>458</v>
      </c>
      <c r="AL127" s="5" t="s">
        <v>458</v>
      </c>
      <c r="AM127" s="5" t="s">
        <v>458</v>
      </c>
      <c r="AN127" s="5" t="s">
        <v>458</v>
      </c>
      <c r="AO127" s="5" t="s">
        <v>458</v>
      </c>
      <c r="AP127" s="5" t="s">
        <v>458</v>
      </c>
      <c r="AQ127" s="5" t="s">
        <v>458</v>
      </c>
      <c r="AR127" s="5" t="s">
        <v>458</v>
      </c>
      <c r="AS127" s="5" t="s">
        <v>458</v>
      </c>
      <c r="AT127" s="5" t="s">
        <v>458</v>
      </c>
      <c r="AU127" s="5" t="s">
        <v>458</v>
      </c>
      <c r="AV127" s="5" t="s">
        <v>458</v>
      </c>
      <c r="AW127" s="5" t="s">
        <v>458</v>
      </c>
      <c r="AX127" s="5" t="s">
        <v>458</v>
      </c>
      <c r="AY127" s="5" t="s">
        <v>458</v>
      </c>
      <c r="AZ127" s="5" t="s">
        <v>458</v>
      </c>
      <c r="BA127" s="5" t="s">
        <v>458</v>
      </c>
      <c r="BB127" s="5" t="s">
        <v>458</v>
      </c>
      <c r="BC127" s="5" t="s">
        <v>458</v>
      </c>
      <c r="BD127" s="5" t="s">
        <v>458</v>
      </c>
      <c r="BE127" s="5"/>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row>
    <row r="128" spans="1:100" x14ac:dyDescent="0.2">
      <c r="A128" s="21">
        <v>21</v>
      </c>
      <c r="B128" s="29">
        <v>3</v>
      </c>
      <c r="C128" s="8" t="s">
        <v>87</v>
      </c>
      <c r="D128" s="5">
        <v>14.651160000000001</v>
      </c>
      <c r="E128" s="5">
        <v>20.930230000000002</v>
      </c>
      <c r="F128" s="5">
        <v>29.302320000000002</v>
      </c>
      <c r="G128" s="5">
        <v>36.27908</v>
      </c>
      <c r="H128" s="5">
        <v>43.953479999999999</v>
      </c>
      <c r="I128" s="5">
        <v>49.069769999999998</v>
      </c>
      <c r="J128" s="5">
        <v>58.604649999999999</v>
      </c>
      <c r="K128" s="5">
        <v>70.930229999999995</v>
      </c>
      <c r="L128" s="5">
        <v>78.837209999999999</v>
      </c>
      <c r="M128" s="5">
        <v>87.674419999999998</v>
      </c>
      <c r="N128" s="5">
        <v>94.186049999999994</v>
      </c>
      <c r="O128" s="5">
        <v>99.465109999999996</v>
      </c>
      <c r="P128" s="5">
        <v>100</v>
      </c>
      <c r="Q128" s="5" t="s">
        <v>458</v>
      </c>
      <c r="R128" s="5" t="s">
        <v>458</v>
      </c>
      <c r="S128" s="5" t="s">
        <v>458</v>
      </c>
      <c r="T128" s="5" t="s">
        <v>458</v>
      </c>
      <c r="U128" s="5" t="s">
        <v>458</v>
      </c>
      <c r="V128" s="5" t="s">
        <v>458</v>
      </c>
      <c r="W128" s="5" t="s">
        <v>458</v>
      </c>
      <c r="X128" s="5" t="s">
        <v>458</v>
      </c>
      <c r="Y128" s="5" t="s">
        <v>458</v>
      </c>
      <c r="Z128" s="5" t="s">
        <v>458</v>
      </c>
      <c r="AA128" s="5" t="s">
        <v>458</v>
      </c>
      <c r="AB128" s="5" t="s">
        <v>458</v>
      </c>
      <c r="AC128" s="5" t="s">
        <v>458</v>
      </c>
      <c r="AD128" s="5" t="s">
        <v>458</v>
      </c>
      <c r="AE128" s="5" t="s">
        <v>458</v>
      </c>
      <c r="AF128" s="5" t="s">
        <v>458</v>
      </c>
      <c r="AG128" s="5" t="s">
        <v>458</v>
      </c>
      <c r="AH128" s="5" t="s">
        <v>458</v>
      </c>
      <c r="AI128" s="5" t="s">
        <v>458</v>
      </c>
      <c r="AJ128" s="5" t="s">
        <v>458</v>
      </c>
      <c r="AK128" s="5" t="s">
        <v>458</v>
      </c>
      <c r="AL128" s="5" t="s">
        <v>458</v>
      </c>
      <c r="AM128" s="5" t="s">
        <v>458</v>
      </c>
      <c r="AN128" s="5" t="s">
        <v>458</v>
      </c>
      <c r="AO128" s="5" t="s">
        <v>458</v>
      </c>
      <c r="AP128" s="5" t="s">
        <v>458</v>
      </c>
      <c r="AQ128" s="5" t="s">
        <v>458</v>
      </c>
      <c r="AR128" s="5" t="s">
        <v>458</v>
      </c>
      <c r="AS128" s="5" t="s">
        <v>458</v>
      </c>
      <c r="AT128" s="5" t="s">
        <v>458</v>
      </c>
      <c r="AU128" s="5" t="s">
        <v>458</v>
      </c>
      <c r="AV128" s="5" t="s">
        <v>458</v>
      </c>
      <c r="AW128" s="5" t="s">
        <v>458</v>
      </c>
      <c r="AX128" s="5" t="s">
        <v>458</v>
      </c>
      <c r="AY128" s="5" t="s">
        <v>458</v>
      </c>
      <c r="AZ128" s="5" t="s">
        <v>458</v>
      </c>
      <c r="BA128" s="5" t="s">
        <v>458</v>
      </c>
      <c r="BB128" s="5" t="s">
        <v>458</v>
      </c>
      <c r="BC128" s="5" t="s">
        <v>458</v>
      </c>
      <c r="BD128" s="5" t="s">
        <v>458</v>
      </c>
      <c r="BE128" s="5"/>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row>
    <row r="129" spans="1:100" x14ac:dyDescent="0.2">
      <c r="A129" s="21">
        <v>21</v>
      </c>
      <c r="B129" s="29">
        <v>4</v>
      </c>
      <c r="C129" s="8" t="s">
        <v>88</v>
      </c>
      <c r="D129" s="5">
        <v>24.186050000000002</v>
      </c>
      <c r="E129" s="5">
        <v>23.48837</v>
      </c>
      <c r="F129" s="5">
        <v>33.953490000000002</v>
      </c>
      <c r="G129" s="5">
        <v>42.558140000000002</v>
      </c>
      <c r="H129" s="5">
        <v>49.302329999999998</v>
      </c>
      <c r="I129" s="5">
        <v>49.069769999999998</v>
      </c>
      <c r="J129" s="5">
        <v>55.813949999999998</v>
      </c>
      <c r="K129" s="5">
        <v>61.162790000000001</v>
      </c>
      <c r="L129" s="5">
        <v>65.348839999999996</v>
      </c>
      <c r="M129" s="5">
        <v>72.325580000000002</v>
      </c>
      <c r="N129" s="5">
        <v>82.093019999999996</v>
      </c>
      <c r="O129" s="5">
        <v>89.534880000000001</v>
      </c>
      <c r="P129" s="5">
        <v>95.581389999999999</v>
      </c>
      <c r="Q129" s="5">
        <v>99.534880000000001</v>
      </c>
      <c r="R129" s="5">
        <v>99.534880000000001</v>
      </c>
      <c r="S129" s="5">
        <v>99.767439999999993</v>
      </c>
      <c r="T129" s="5" t="s">
        <v>458</v>
      </c>
      <c r="U129" s="5" t="s">
        <v>458</v>
      </c>
      <c r="V129" s="5" t="s">
        <v>458</v>
      </c>
      <c r="W129" s="5" t="s">
        <v>458</v>
      </c>
      <c r="X129" s="5" t="s">
        <v>458</v>
      </c>
      <c r="Y129" s="5" t="s">
        <v>458</v>
      </c>
      <c r="Z129" s="5" t="s">
        <v>458</v>
      </c>
      <c r="AA129" s="5" t="s">
        <v>458</v>
      </c>
      <c r="AB129" s="5" t="s">
        <v>458</v>
      </c>
      <c r="AC129" s="5" t="s">
        <v>458</v>
      </c>
      <c r="AD129" s="5" t="s">
        <v>458</v>
      </c>
      <c r="AE129" s="5" t="s">
        <v>458</v>
      </c>
      <c r="AF129" s="5" t="s">
        <v>458</v>
      </c>
      <c r="AG129" s="5" t="s">
        <v>458</v>
      </c>
      <c r="AH129" s="5" t="s">
        <v>458</v>
      </c>
      <c r="AI129" s="5" t="s">
        <v>458</v>
      </c>
      <c r="AJ129" s="5" t="s">
        <v>458</v>
      </c>
      <c r="AK129" s="5" t="s">
        <v>458</v>
      </c>
      <c r="AL129" s="5" t="s">
        <v>458</v>
      </c>
      <c r="AM129" s="5" t="s">
        <v>458</v>
      </c>
      <c r="AN129" s="5" t="s">
        <v>458</v>
      </c>
      <c r="AO129" s="5" t="s">
        <v>458</v>
      </c>
      <c r="AP129" s="5" t="s">
        <v>458</v>
      </c>
      <c r="AQ129" s="5" t="s">
        <v>458</v>
      </c>
      <c r="AR129" s="5" t="s">
        <v>458</v>
      </c>
      <c r="AS129" s="5" t="s">
        <v>458</v>
      </c>
      <c r="AT129" s="5" t="s">
        <v>458</v>
      </c>
      <c r="AU129" s="5" t="s">
        <v>458</v>
      </c>
      <c r="AV129" s="5" t="s">
        <v>458</v>
      </c>
      <c r="AW129" s="5" t="s">
        <v>458</v>
      </c>
      <c r="AX129" s="5" t="s">
        <v>458</v>
      </c>
      <c r="AY129" s="5" t="s">
        <v>458</v>
      </c>
      <c r="AZ129" s="5" t="s">
        <v>458</v>
      </c>
      <c r="BA129" s="5" t="s">
        <v>458</v>
      </c>
      <c r="BB129" s="5" t="s">
        <v>458</v>
      </c>
      <c r="BC129" s="5" t="s">
        <v>458</v>
      </c>
      <c r="BD129" s="5" t="s">
        <v>458</v>
      </c>
      <c r="BE129" s="5"/>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row>
    <row r="130" spans="1:100" s="18" customFormat="1" x14ac:dyDescent="0.2">
      <c r="A130" s="23">
        <v>21</v>
      </c>
      <c r="B130" s="30">
        <v>5</v>
      </c>
      <c r="C130" s="342" t="s">
        <v>89</v>
      </c>
      <c r="D130" s="19">
        <v>8.6046600000000009</v>
      </c>
      <c r="E130" s="19">
        <v>13.48837</v>
      </c>
      <c r="F130" s="19">
        <v>11.6279</v>
      </c>
      <c r="G130" s="19">
        <v>19.302330000000001</v>
      </c>
      <c r="H130" s="19">
        <v>26.976749999999999</v>
      </c>
      <c r="I130" s="19">
        <v>34.65117</v>
      </c>
      <c r="J130" s="19">
        <v>41.162790000000001</v>
      </c>
      <c r="K130" s="19">
        <v>47.674419999999998</v>
      </c>
      <c r="L130" s="19">
        <v>53.953490000000002</v>
      </c>
      <c r="M130" s="19">
        <v>59.069769999999998</v>
      </c>
      <c r="N130" s="19">
        <v>62.325580000000002</v>
      </c>
      <c r="O130" s="19">
        <v>70</v>
      </c>
      <c r="P130" s="19">
        <v>78.372100000000003</v>
      </c>
      <c r="Q130" s="19">
        <v>86.976749999999996</v>
      </c>
      <c r="R130" s="19">
        <v>94.186049999999994</v>
      </c>
      <c r="S130" s="19">
        <v>100</v>
      </c>
      <c r="T130" s="19">
        <v>99.302319999999995</v>
      </c>
      <c r="U130" s="19">
        <v>99.534880000000001</v>
      </c>
      <c r="V130" s="19" t="s">
        <v>458</v>
      </c>
      <c r="W130" s="19" t="s">
        <v>458</v>
      </c>
      <c r="X130" s="19" t="s">
        <v>458</v>
      </c>
      <c r="Y130" s="19" t="s">
        <v>458</v>
      </c>
      <c r="Z130" s="19" t="s">
        <v>458</v>
      </c>
      <c r="AA130" s="19" t="s">
        <v>458</v>
      </c>
      <c r="AB130" s="19" t="s">
        <v>458</v>
      </c>
      <c r="AC130" s="19" t="s">
        <v>458</v>
      </c>
      <c r="AD130" s="19" t="s">
        <v>458</v>
      </c>
      <c r="AE130" s="19" t="s">
        <v>458</v>
      </c>
      <c r="AF130" s="19" t="s">
        <v>458</v>
      </c>
      <c r="AG130" s="19" t="s">
        <v>458</v>
      </c>
      <c r="AH130" s="19" t="s">
        <v>458</v>
      </c>
      <c r="AI130" s="19" t="s">
        <v>458</v>
      </c>
      <c r="AJ130" s="19" t="s">
        <v>458</v>
      </c>
      <c r="AK130" s="19" t="s">
        <v>458</v>
      </c>
      <c r="AL130" s="19" t="s">
        <v>458</v>
      </c>
      <c r="AM130" s="19" t="s">
        <v>458</v>
      </c>
      <c r="AN130" s="19" t="s">
        <v>458</v>
      </c>
      <c r="AO130" s="19" t="s">
        <v>458</v>
      </c>
      <c r="AP130" s="19" t="s">
        <v>458</v>
      </c>
      <c r="AQ130" s="19" t="s">
        <v>458</v>
      </c>
      <c r="AR130" s="19" t="s">
        <v>458</v>
      </c>
      <c r="AS130" s="19" t="s">
        <v>458</v>
      </c>
      <c r="AT130" s="19" t="s">
        <v>458</v>
      </c>
      <c r="AU130" s="19" t="s">
        <v>458</v>
      </c>
      <c r="AV130" s="19" t="s">
        <v>458</v>
      </c>
      <c r="AW130" s="19" t="s">
        <v>458</v>
      </c>
      <c r="AX130" s="19" t="s">
        <v>458</v>
      </c>
      <c r="AY130" s="19" t="s">
        <v>458</v>
      </c>
      <c r="AZ130" s="19" t="s">
        <v>458</v>
      </c>
      <c r="BA130" s="19" t="s">
        <v>458</v>
      </c>
      <c r="BB130" s="19" t="s">
        <v>458</v>
      </c>
      <c r="BC130" s="19" t="s">
        <v>458</v>
      </c>
      <c r="BD130" s="19" t="s">
        <v>458</v>
      </c>
      <c r="BE130" s="19"/>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row>
    <row r="131" spans="1:100" x14ac:dyDescent="0.2">
      <c r="A131" s="21">
        <v>24</v>
      </c>
      <c r="B131" s="29">
        <v>5</v>
      </c>
      <c r="C131" s="8" t="s">
        <v>29</v>
      </c>
      <c r="D131" s="5">
        <v>19.52505</v>
      </c>
      <c r="E131" s="5">
        <v>25.329809999999998</v>
      </c>
      <c r="F131" s="5">
        <v>30.079149999999998</v>
      </c>
      <c r="G131" s="5">
        <v>33.509230000000002</v>
      </c>
      <c r="H131" s="5">
        <v>37.203159999999997</v>
      </c>
      <c r="I131" s="5">
        <v>41.688650000000003</v>
      </c>
      <c r="J131" s="5">
        <v>44.591030000000003</v>
      </c>
      <c r="K131" s="5">
        <v>47.757249999999999</v>
      </c>
      <c r="L131" s="5">
        <v>50.65963</v>
      </c>
      <c r="M131" s="5">
        <v>53.034300000000002</v>
      </c>
      <c r="N131" s="5">
        <v>54.353560000000002</v>
      </c>
      <c r="O131" s="5">
        <v>56.464379999999998</v>
      </c>
      <c r="P131" s="5">
        <v>56.992080000000001</v>
      </c>
      <c r="Q131" s="5">
        <v>58.047490000000003</v>
      </c>
      <c r="R131" s="5">
        <v>59.366750000000003</v>
      </c>
      <c r="S131" s="5">
        <v>59.630600000000001</v>
      </c>
      <c r="T131" s="5">
        <v>61.47757</v>
      </c>
      <c r="U131" s="5">
        <v>62.005270000000003</v>
      </c>
      <c r="V131" s="5" t="s">
        <v>458</v>
      </c>
      <c r="W131" s="5" t="s">
        <v>458</v>
      </c>
      <c r="X131" s="5" t="s">
        <v>458</v>
      </c>
      <c r="Y131" s="5" t="s">
        <v>458</v>
      </c>
      <c r="Z131" s="5" t="s">
        <v>458</v>
      </c>
      <c r="AA131" s="5" t="s">
        <v>458</v>
      </c>
      <c r="AB131" s="5" t="s">
        <v>458</v>
      </c>
      <c r="AC131" s="5" t="s">
        <v>458</v>
      </c>
      <c r="AD131" s="5" t="s">
        <v>458</v>
      </c>
      <c r="AE131" s="5" t="s">
        <v>458</v>
      </c>
      <c r="AF131" s="5" t="s">
        <v>458</v>
      </c>
      <c r="AG131" s="5" t="s">
        <v>458</v>
      </c>
      <c r="AH131" s="5" t="s">
        <v>458</v>
      </c>
      <c r="AI131" s="5" t="s">
        <v>458</v>
      </c>
      <c r="AJ131" s="5" t="s">
        <v>458</v>
      </c>
      <c r="AK131" s="5" t="s">
        <v>458</v>
      </c>
      <c r="AL131" s="5" t="s">
        <v>458</v>
      </c>
      <c r="AM131" s="5" t="s">
        <v>458</v>
      </c>
      <c r="AN131" s="5" t="s">
        <v>458</v>
      </c>
      <c r="AO131" s="5" t="s">
        <v>458</v>
      </c>
      <c r="AP131" s="5" t="s">
        <v>458</v>
      </c>
      <c r="AQ131" s="5" t="s">
        <v>458</v>
      </c>
      <c r="AR131" s="5" t="s">
        <v>458</v>
      </c>
      <c r="AS131" s="5" t="s">
        <v>458</v>
      </c>
      <c r="AT131" s="5" t="s">
        <v>458</v>
      </c>
      <c r="AU131" s="5" t="s">
        <v>458</v>
      </c>
      <c r="AV131" s="5" t="s">
        <v>458</v>
      </c>
      <c r="AW131" s="5" t="s">
        <v>458</v>
      </c>
      <c r="AX131" s="5" t="s">
        <v>458</v>
      </c>
      <c r="AY131" s="5" t="s">
        <v>458</v>
      </c>
      <c r="AZ131" s="5" t="s">
        <v>458</v>
      </c>
      <c r="BA131" s="5" t="s">
        <v>458</v>
      </c>
      <c r="BB131" s="5" t="s">
        <v>458</v>
      </c>
      <c r="BC131" s="5" t="s">
        <v>458</v>
      </c>
      <c r="BD131" s="5" t="s">
        <v>458</v>
      </c>
      <c r="BE131" s="5"/>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row>
    <row r="132" spans="1:100" x14ac:dyDescent="0.2">
      <c r="A132" s="21">
        <v>24</v>
      </c>
      <c r="B132" s="29">
        <v>6</v>
      </c>
      <c r="C132" s="8" t="s">
        <v>90</v>
      </c>
      <c r="D132" s="5">
        <v>9.3031400000000009</v>
      </c>
      <c r="E132" s="5">
        <v>21.63588</v>
      </c>
      <c r="F132" s="5">
        <v>27.825369999999999</v>
      </c>
      <c r="G132" s="5">
        <v>29.725079999999998</v>
      </c>
      <c r="H132" s="5">
        <v>30.912400000000002</v>
      </c>
      <c r="I132" s="5">
        <v>31.862259999999999</v>
      </c>
      <c r="J132" s="5">
        <v>32.574649999999998</v>
      </c>
      <c r="K132" s="5">
        <v>33.524509999999999</v>
      </c>
      <c r="L132" s="5">
        <v>33.99944</v>
      </c>
      <c r="M132" s="5">
        <v>34.47437</v>
      </c>
      <c r="N132" s="5">
        <v>34.711829999999999</v>
      </c>
      <c r="O132" s="5">
        <v>35.18676</v>
      </c>
      <c r="P132" s="5">
        <v>35.356189999999998</v>
      </c>
      <c r="Q132" s="5">
        <v>36.374079999999999</v>
      </c>
      <c r="R132" s="5">
        <v>36.374079999999999</v>
      </c>
      <c r="S132" s="5">
        <v>36.374079999999999</v>
      </c>
      <c r="T132" s="5">
        <v>36.374079999999999</v>
      </c>
      <c r="U132" s="5">
        <v>36.84901</v>
      </c>
      <c r="V132" s="5">
        <v>36.84901</v>
      </c>
      <c r="W132" s="5">
        <v>36.84901</v>
      </c>
      <c r="X132" s="5" t="s">
        <v>458</v>
      </c>
      <c r="Y132" s="5" t="s">
        <v>458</v>
      </c>
      <c r="Z132" s="5" t="s">
        <v>458</v>
      </c>
      <c r="AA132" s="5" t="s">
        <v>458</v>
      </c>
      <c r="AB132" s="5" t="s">
        <v>458</v>
      </c>
      <c r="AC132" s="5" t="s">
        <v>458</v>
      </c>
      <c r="AD132" s="5" t="s">
        <v>458</v>
      </c>
      <c r="AE132" s="5" t="s">
        <v>458</v>
      </c>
      <c r="AF132" s="5" t="s">
        <v>458</v>
      </c>
      <c r="AG132" s="5" t="s">
        <v>458</v>
      </c>
      <c r="AH132" s="5" t="s">
        <v>458</v>
      </c>
      <c r="AI132" s="5" t="s">
        <v>458</v>
      </c>
      <c r="AJ132" s="5" t="s">
        <v>458</v>
      </c>
      <c r="AK132" s="5" t="s">
        <v>458</v>
      </c>
      <c r="AL132" s="5" t="s">
        <v>458</v>
      </c>
      <c r="AM132" s="5" t="s">
        <v>458</v>
      </c>
      <c r="AN132" s="5" t="s">
        <v>458</v>
      </c>
      <c r="AO132" s="5" t="s">
        <v>458</v>
      </c>
      <c r="AP132" s="5" t="s">
        <v>458</v>
      </c>
      <c r="AQ132" s="5" t="s">
        <v>458</v>
      </c>
      <c r="AR132" s="5" t="s">
        <v>458</v>
      </c>
      <c r="AS132" s="5" t="s">
        <v>458</v>
      </c>
      <c r="AT132" s="5" t="s">
        <v>458</v>
      </c>
      <c r="AU132" s="5" t="s">
        <v>458</v>
      </c>
      <c r="AV132" s="5" t="s">
        <v>458</v>
      </c>
      <c r="AW132" s="5" t="s">
        <v>458</v>
      </c>
      <c r="AX132" s="5" t="s">
        <v>458</v>
      </c>
      <c r="AY132" s="5" t="s">
        <v>458</v>
      </c>
      <c r="AZ132" s="5" t="s">
        <v>458</v>
      </c>
      <c r="BA132" s="5" t="s">
        <v>458</v>
      </c>
      <c r="BB132" s="5" t="s">
        <v>458</v>
      </c>
      <c r="BC132" s="5" t="s">
        <v>458</v>
      </c>
      <c r="BD132" s="5" t="s">
        <v>458</v>
      </c>
      <c r="BE132" s="5"/>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row>
    <row r="133" spans="1:100" x14ac:dyDescent="0.2">
      <c r="A133" s="21">
        <v>24</v>
      </c>
      <c r="B133" s="29">
        <v>7</v>
      </c>
      <c r="C133" s="8" t="s">
        <v>91</v>
      </c>
      <c r="D133" s="5">
        <v>33.524509999999999</v>
      </c>
      <c r="E133" s="5">
        <v>38.273800000000001</v>
      </c>
      <c r="F133" s="5">
        <v>43.023090000000003</v>
      </c>
      <c r="G133" s="5">
        <v>47.772379999999998</v>
      </c>
      <c r="H133" s="5">
        <v>52.284199999999998</v>
      </c>
      <c r="I133" s="5">
        <v>56.321089999999998</v>
      </c>
      <c r="J133" s="5">
        <v>59.88306</v>
      </c>
      <c r="K133" s="5">
        <v>65.344740000000002</v>
      </c>
      <c r="L133" s="5">
        <v>68.194310000000002</v>
      </c>
      <c r="M133" s="5">
        <v>71.281350000000003</v>
      </c>
      <c r="N133" s="5">
        <v>74.670180000000002</v>
      </c>
      <c r="O133" s="5">
        <v>77.572559999999996</v>
      </c>
      <c r="P133" s="5">
        <v>81.254859999999994</v>
      </c>
      <c r="Q133" s="5">
        <v>82.679640000000006</v>
      </c>
      <c r="R133" s="5">
        <v>84.341890000000006</v>
      </c>
      <c r="S133" s="5">
        <v>86.015820000000005</v>
      </c>
      <c r="T133" s="5">
        <v>89.182050000000004</v>
      </c>
      <c r="U133" s="5">
        <v>89.973609999999994</v>
      </c>
      <c r="V133" s="5" t="s">
        <v>458</v>
      </c>
      <c r="W133" s="5" t="s">
        <v>458</v>
      </c>
      <c r="X133" s="5" t="s">
        <v>458</v>
      </c>
      <c r="Y133" s="5" t="s">
        <v>458</v>
      </c>
      <c r="Z133" s="5" t="s">
        <v>458</v>
      </c>
      <c r="AA133" s="5" t="s">
        <v>458</v>
      </c>
      <c r="AB133" s="5" t="s">
        <v>458</v>
      </c>
      <c r="AC133" s="5" t="s">
        <v>458</v>
      </c>
      <c r="AD133" s="5" t="s">
        <v>458</v>
      </c>
      <c r="AE133" s="5" t="s">
        <v>458</v>
      </c>
      <c r="AF133" s="5" t="s">
        <v>458</v>
      </c>
      <c r="AG133" s="5" t="s">
        <v>458</v>
      </c>
      <c r="AH133" s="5" t="s">
        <v>458</v>
      </c>
      <c r="AI133" s="5" t="s">
        <v>458</v>
      </c>
      <c r="AJ133" s="5" t="s">
        <v>458</v>
      </c>
      <c r="AK133" s="5" t="s">
        <v>458</v>
      </c>
      <c r="AL133" s="5" t="s">
        <v>458</v>
      </c>
      <c r="AM133" s="5" t="s">
        <v>458</v>
      </c>
      <c r="AN133" s="5" t="s">
        <v>458</v>
      </c>
      <c r="AO133" s="5" t="s">
        <v>458</v>
      </c>
      <c r="AP133" s="5" t="s">
        <v>458</v>
      </c>
      <c r="AQ133" s="5" t="s">
        <v>458</v>
      </c>
      <c r="AR133" s="5" t="s">
        <v>458</v>
      </c>
      <c r="AS133" s="5" t="s">
        <v>458</v>
      </c>
      <c r="AT133" s="5" t="s">
        <v>458</v>
      </c>
      <c r="AU133" s="5" t="s">
        <v>458</v>
      </c>
      <c r="AV133" s="5" t="s">
        <v>458</v>
      </c>
      <c r="AW133" s="5" t="s">
        <v>458</v>
      </c>
      <c r="AX133" s="5" t="s">
        <v>458</v>
      </c>
      <c r="AY133" s="5" t="s">
        <v>458</v>
      </c>
      <c r="AZ133" s="5" t="s">
        <v>458</v>
      </c>
      <c r="BA133" s="5" t="s">
        <v>458</v>
      </c>
      <c r="BB133" s="5" t="s">
        <v>458</v>
      </c>
      <c r="BC133" s="5" t="s">
        <v>458</v>
      </c>
      <c r="BD133" s="5" t="s">
        <v>458</v>
      </c>
      <c r="BE133" s="5"/>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row>
    <row r="134" spans="1:100" s="18" customFormat="1" x14ac:dyDescent="0.2">
      <c r="A134" s="23">
        <v>24</v>
      </c>
      <c r="B134" s="30">
        <v>8</v>
      </c>
      <c r="C134" s="342" t="s">
        <v>92</v>
      </c>
      <c r="D134" s="19">
        <v>7.4034300000000002</v>
      </c>
      <c r="E134" s="19">
        <v>12.15272</v>
      </c>
      <c r="F134" s="19">
        <v>15.95215</v>
      </c>
      <c r="G134" s="19">
        <v>20.701429999999998</v>
      </c>
      <c r="H134" s="19">
        <v>25.45072</v>
      </c>
      <c r="I134" s="19">
        <v>30.200009999999999</v>
      </c>
      <c r="J134" s="19">
        <v>34.949300000000001</v>
      </c>
      <c r="K134" s="19">
        <v>39.698590000000003</v>
      </c>
      <c r="L134" s="19">
        <v>44.210410000000003</v>
      </c>
      <c r="M134" s="19">
        <v>47.772379999999998</v>
      </c>
      <c r="N134" s="19">
        <v>51.096879999999999</v>
      </c>
      <c r="O134" s="19">
        <v>54.658839999999998</v>
      </c>
      <c r="P134" s="19">
        <v>57.03349</v>
      </c>
      <c r="Q134" s="19">
        <v>59.645600000000002</v>
      </c>
      <c r="R134" s="19">
        <v>61.782780000000002</v>
      </c>
      <c r="S134" s="19">
        <v>63.445030000000003</v>
      </c>
      <c r="T134" s="19">
        <v>65.344740000000002</v>
      </c>
      <c r="U134" s="19">
        <v>66.532060000000001</v>
      </c>
      <c r="V134" s="19">
        <v>68.194310000000002</v>
      </c>
      <c r="W134" s="19">
        <v>69.619100000000003</v>
      </c>
      <c r="X134" s="19">
        <v>70.806420000000003</v>
      </c>
      <c r="Y134" s="19">
        <v>71.756280000000004</v>
      </c>
      <c r="Z134" s="19">
        <v>72.943600000000004</v>
      </c>
      <c r="AA134" s="19">
        <v>73.656000000000006</v>
      </c>
      <c r="AB134" s="19">
        <v>74.605850000000004</v>
      </c>
      <c r="AC134" s="19">
        <v>75.555710000000005</v>
      </c>
      <c r="AD134" s="19">
        <v>76.268100000000004</v>
      </c>
      <c r="AE134" s="19">
        <v>76.980500000000006</v>
      </c>
      <c r="AF134" s="19" t="s">
        <v>458</v>
      </c>
      <c r="AG134" s="19" t="s">
        <v>458</v>
      </c>
      <c r="AH134" s="19" t="s">
        <v>458</v>
      </c>
      <c r="AI134" s="19" t="s">
        <v>458</v>
      </c>
      <c r="AJ134" s="19" t="s">
        <v>458</v>
      </c>
      <c r="AK134" s="19" t="s">
        <v>458</v>
      </c>
      <c r="AL134" s="19" t="s">
        <v>458</v>
      </c>
      <c r="AM134" s="19" t="s">
        <v>458</v>
      </c>
      <c r="AN134" s="19" t="s">
        <v>458</v>
      </c>
      <c r="AO134" s="19" t="s">
        <v>458</v>
      </c>
      <c r="AP134" s="19" t="s">
        <v>458</v>
      </c>
      <c r="AQ134" s="19" t="s">
        <v>458</v>
      </c>
      <c r="AR134" s="19" t="s">
        <v>458</v>
      </c>
      <c r="AS134" s="19" t="s">
        <v>458</v>
      </c>
      <c r="AT134" s="19" t="s">
        <v>458</v>
      </c>
      <c r="AU134" s="19" t="s">
        <v>458</v>
      </c>
      <c r="AV134" s="19" t="s">
        <v>458</v>
      </c>
      <c r="AW134" s="19" t="s">
        <v>458</v>
      </c>
      <c r="AX134" s="19" t="s">
        <v>458</v>
      </c>
      <c r="AY134" s="19" t="s">
        <v>458</v>
      </c>
      <c r="AZ134" s="19" t="s">
        <v>458</v>
      </c>
      <c r="BA134" s="19" t="s">
        <v>458</v>
      </c>
      <c r="BB134" s="19" t="s">
        <v>458</v>
      </c>
      <c r="BC134" s="19" t="s">
        <v>458</v>
      </c>
      <c r="BD134" s="19" t="s">
        <v>458</v>
      </c>
      <c r="BE134" s="19"/>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row>
    <row r="135" spans="1:100" x14ac:dyDescent="0.2">
      <c r="BG135" s="3"/>
      <c r="BH135" s="3"/>
    </row>
    <row r="136" spans="1:100" x14ac:dyDescent="0.2">
      <c r="BG136" s="3"/>
      <c r="BH136" s="3"/>
    </row>
    <row r="137" spans="1:100" x14ac:dyDescent="0.2">
      <c r="BG137" s="3"/>
      <c r="BH137" s="3"/>
    </row>
    <row r="138" spans="1:100" x14ac:dyDescent="0.2">
      <c r="BG138" s="3"/>
      <c r="BH138" s="3"/>
    </row>
    <row r="139" spans="1:100" x14ac:dyDescent="0.2">
      <c r="BG139" s="3"/>
      <c r="BH139" s="3"/>
    </row>
    <row r="140" spans="1:100" x14ac:dyDescent="0.2">
      <c r="BG140" s="3"/>
      <c r="BH140" s="3"/>
    </row>
    <row r="141" spans="1:100" x14ac:dyDescent="0.2">
      <c r="BG141" s="3"/>
      <c r="BH141" s="3"/>
    </row>
    <row r="142" spans="1:100" x14ac:dyDescent="0.2">
      <c r="BG142" s="3"/>
      <c r="BH142" s="3"/>
    </row>
    <row r="143" spans="1:100" x14ac:dyDescent="0.2">
      <c r="BG143" s="3"/>
      <c r="BH143" s="3"/>
    </row>
    <row r="144" spans="1:100" x14ac:dyDescent="0.2">
      <c r="BG144" s="3"/>
      <c r="BH144" s="3"/>
    </row>
    <row r="145" spans="59:60" x14ac:dyDescent="0.2">
      <c r="BG145" s="3"/>
      <c r="BH145" s="3"/>
    </row>
    <row r="146" spans="59:60" x14ac:dyDescent="0.2">
      <c r="BG146" s="3"/>
      <c r="BH146" s="3"/>
    </row>
    <row r="147" spans="59:60" x14ac:dyDescent="0.2">
      <c r="BG147" s="3"/>
      <c r="BH147" s="3"/>
    </row>
    <row r="148" spans="59:60" x14ac:dyDescent="0.2">
      <c r="BG148" s="3"/>
      <c r="BH148" s="3"/>
    </row>
    <row r="149" spans="59:60" x14ac:dyDescent="0.2">
      <c r="BG149" s="3"/>
      <c r="BH149" s="3"/>
    </row>
    <row r="150" spans="59:60" x14ac:dyDescent="0.2">
      <c r="BG150" s="3"/>
      <c r="BH150" s="3"/>
    </row>
    <row r="151" spans="59:60" x14ac:dyDescent="0.2">
      <c r="BG151" s="3"/>
      <c r="BH151" s="3"/>
    </row>
    <row r="152" spans="59:60" x14ac:dyDescent="0.2">
      <c r="BG152" s="3"/>
      <c r="BH152" s="3"/>
    </row>
    <row r="153" spans="59:60" x14ac:dyDescent="0.2">
      <c r="BG153" s="3"/>
      <c r="BH153" s="3"/>
    </row>
    <row r="154" spans="59:60" x14ac:dyDescent="0.2">
      <c r="BG154" s="3"/>
      <c r="BH154" s="3"/>
    </row>
    <row r="155" spans="59:60" x14ac:dyDescent="0.2">
      <c r="BG155" s="3"/>
      <c r="BH155" s="3"/>
    </row>
    <row r="156" spans="59:60" x14ac:dyDescent="0.2">
      <c r="BG156" s="3"/>
      <c r="BH156" s="3"/>
    </row>
    <row r="157" spans="59:60" x14ac:dyDescent="0.2">
      <c r="BG157" s="3"/>
      <c r="BH157" s="3"/>
    </row>
    <row r="158" spans="59:60" x14ac:dyDescent="0.2">
      <c r="BG158" s="3"/>
      <c r="BH158" s="3"/>
    </row>
    <row r="159" spans="59:60" x14ac:dyDescent="0.2">
      <c r="BG159" s="3"/>
      <c r="BH159" s="3"/>
    </row>
    <row r="160" spans="59:60" x14ac:dyDescent="0.2">
      <c r="BG160" s="3"/>
      <c r="BH160" s="3"/>
    </row>
    <row r="161" spans="59:60" x14ac:dyDescent="0.2">
      <c r="BG161" s="3"/>
      <c r="BH161" s="3"/>
    </row>
    <row r="162" spans="59:60" x14ac:dyDescent="0.2">
      <c r="BG162" s="3"/>
      <c r="BH162" s="3"/>
    </row>
    <row r="163" spans="59:60" x14ac:dyDescent="0.2">
      <c r="BG163" s="3"/>
      <c r="BH163" s="3"/>
    </row>
    <row r="164" spans="59:60" x14ac:dyDescent="0.2">
      <c r="BG164" s="3"/>
      <c r="BH164" s="3"/>
    </row>
    <row r="165" spans="59:60" x14ac:dyDescent="0.2">
      <c r="BG165" s="3"/>
      <c r="BH165" s="3"/>
    </row>
    <row r="166" spans="59:60" x14ac:dyDescent="0.2">
      <c r="BG166" s="3"/>
      <c r="BH166" s="3"/>
    </row>
    <row r="167" spans="59:60" x14ac:dyDescent="0.2">
      <c r="BG167" s="3"/>
      <c r="BH167" s="3"/>
    </row>
    <row r="168" spans="59:60" x14ac:dyDescent="0.2">
      <c r="BG168" s="3"/>
      <c r="BH168" s="3"/>
    </row>
    <row r="169" spans="59:60" x14ac:dyDescent="0.2">
      <c r="BG169" s="3"/>
      <c r="BH169" s="3"/>
    </row>
    <row r="170" spans="59:60" x14ac:dyDescent="0.2">
      <c r="BG170" s="3"/>
      <c r="BH170" s="3"/>
    </row>
    <row r="171" spans="59:60" x14ac:dyDescent="0.2">
      <c r="BG171" s="3"/>
      <c r="BH171" s="3"/>
    </row>
    <row r="172" spans="59:60" x14ac:dyDescent="0.2">
      <c r="BH172" s="3"/>
    </row>
    <row r="173" spans="59:60" x14ac:dyDescent="0.2">
      <c r="BH173" s="3"/>
    </row>
    <row r="174" spans="59:60" x14ac:dyDescent="0.2">
      <c r="BH174" s="3"/>
    </row>
    <row r="175" spans="59:60" x14ac:dyDescent="0.2">
      <c r="BH175" s="3"/>
    </row>
    <row r="176" spans="59:60" x14ac:dyDescent="0.2">
      <c r="BH176" s="3"/>
    </row>
    <row r="177" spans="60:60" x14ac:dyDescent="0.2">
      <c r="BH177" s="3"/>
    </row>
    <row r="178" spans="60:60" x14ac:dyDescent="0.2">
      <c r="BH178" s="3"/>
    </row>
  </sheetData>
  <autoFilter ref="A1:BI178" xr:uid="{4F6B86EC-2E6A-48CC-909F-2696DDB7C0CA}">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autoFilter>
  <sortState xmlns:xlrd2="http://schemas.microsoft.com/office/spreadsheetml/2017/richdata2" ref="C91:D119">
    <sortCondition ref="C90:C119"/>
  </sortState>
  <phoneticPr fontId="34" type="noConversion"/>
  <conditionalFormatting sqref="P2:R56 U4:BD5 U8:BD15 U17:BD28 U30:BD37 U39:BD43 U45:BD48 U50:BD51">
    <cfRule type="cellIs" dxfId="1" priority="2" operator="lessThan">
      <formula>0</formula>
    </cfRule>
  </conditionalFormatting>
  <conditionalFormatting sqref="BH62:CV134">
    <cfRule type="cellIs" dxfId="0" priority="1" operator="lessThan">
      <formula>0</formula>
    </cfRule>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783F2-A7C7-409F-95CA-F45C110F3F8B}">
  <dimension ref="A1:BE135"/>
  <sheetViews>
    <sheetView zoomScale="150" zoomScaleNormal="150" workbookViewId="0">
      <pane ySplit="1" topLeftCell="A109" activePane="bottomLeft" state="frozen"/>
      <selection activeCell="E11" sqref="E11"/>
      <selection pane="bottomLeft" activeCell="D145" sqref="D145"/>
    </sheetView>
  </sheetViews>
  <sheetFormatPr baseColWidth="10" defaultColWidth="9.1640625" defaultRowHeight="15" x14ac:dyDescent="0.2"/>
  <cols>
    <col min="1" max="1" width="9.1640625" style="52"/>
    <col min="2" max="2" width="27.5" style="41" customWidth="1"/>
    <col min="3" max="3" width="47.33203125" style="41" customWidth="1"/>
    <col min="4" max="16384" width="9.1640625" style="5"/>
  </cols>
  <sheetData>
    <row r="1" spans="1:57" s="7" customFormat="1" x14ac:dyDescent="0.2">
      <c r="A1" s="66" t="s">
        <v>113</v>
      </c>
      <c r="B1" s="120" t="s">
        <v>97</v>
      </c>
      <c r="C1" s="120" t="s">
        <v>397</v>
      </c>
      <c r="D1" s="359" t="s">
        <v>469</v>
      </c>
      <c r="E1" s="359"/>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F1" s="359"/>
      <c r="AG1" s="359"/>
      <c r="AH1" s="359"/>
      <c r="AI1" s="359"/>
      <c r="AJ1" s="359"/>
      <c r="AK1" s="359"/>
      <c r="AL1" s="359"/>
      <c r="AM1" s="359"/>
    </row>
    <row r="2" spans="1:57" s="3" customFormat="1" x14ac:dyDescent="0.2">
      <c r="A2" s="317">
        <v>4</v>
      </c>
      <c r="B2" s="318">
        <v>5</v>
      </c>
      <c r="C2" s="318" t="s">
        <v>30</v>
      </c>
      <c r="D2" s="48">
        <v>30</v>
      </c>
      <c r="E2" s="49">
        <v>60</v>
      </c>
      <c r="F2" s="49">
        <v>90</v>
      </c>
      <c r="G2" s="49">
        <v>150</v>
      </c>
      <c r="H2" s="49">
        <v>240</v>
      </c>
      <c r="I2" s="49">
        <v>300</v>
      </c>
      <c r="J2" s="49">
        <v>360</v>
      </c>
      <c r="K2" s="5" t="s">
        <v>458</v>
      </c>
      <c r="L2" s="5" t="s">
        <v>458</v>
      </c>
      <c r="M2" s="5" t="s">
        <v>458</v>
      </c>
      <c r="N2" s="5" t="s">
        <v>458</v>
      </c>
      <c r="O2" s="5" t="s">
        <v>458</v>
      </c>
      <c r="P2" s="5" t="s">
        <v>458</v>
      </c>
      <c r="Q2" s="5" t="s">
        <v>458</v>
      </c>
      <c r="R2" s="5" t="s">
        <v>458</v>
      </c>
      <c r="S2" s="5" t="s">
        <v>458</v>
      </c>
      <c r="T2" s="5" t="s">
        <v>458</v>
      </c>
      <c r="U2" s="5" t="s">
        <v>458</v>
      </c>
      <c r="V2" s="5" t="s">
        <v>458</v>
      </c>
      <c r="W2" s="5" t="s">
        <v>458</v>
      </c>
      <c r="X2" s="5" t="s">
        <v>458</v>
      </c>
      <c r="Y2" s="5" t="s">
        <v>458</v>
      </c>
      <c r="Z2" s="5" t="s">
        <v>458</v>
      </c>
      <c r="AA2" s="5" t="s">
        <v>458</v>
      </c>
      <c r="AB2" s="5" t="s">
        <v>458</v>
      </c>
      <c r="AC2" s="5" t="s">
        <v>458</v>
      </c>
      <c r="AD2" s="5" t="s">
        <v>458</v>
      </c>
      <c r="AE2" s="5" t="s">
        <v>458</v>
      </c>
      <c r="AF2" s="5" t="s">
        <v>458</v>
      </c>
      <c r="AG2" s="5" t="s">
        <v>458</v>
      </c>
      <c r="AH2" s="5" t="s">
        <v>458</v>
      </c>
      <c r="AI2" s="5" t="s">
        <v>458</v>
      </c>
      <c r="AJ2" s="5" t="s">
        <v>458</v>
      </c>
      <c r="AK2" s="5" t="s">
        <v>458</v>
      </c>
      <c r="AL2" s="5" t="s">
        <v>458</v>
      </c>
      <c r="AM2" s="5" t="s">
        <v>458</v>
      </c>
      <c r="AN2" s="5" t="s">
        <v>458</v>
      </c>
      <c r="AO2" s="5" t="s">
        <v>458</v>
      </c>
      <c r="AP2" s="5" t="s">
        <v>458</v>
      </c>
      <c r="AQ2" s="5" t="s">
        <v>458</v>
      </c>
      <c r="AR2" s="5" t="s">
        <v>458</v>
      </c>
      <c r="AS2" s="5" t="s">
        <v>458</v>
      </c>
      <c r="AT2" s="5" t="s">
        <v>458</v>
      </c>
      <c r="AU2" s="5" t="s">
        <v>458</v>
      </c>
      <c r="AV2" s="5" t="s">
        <v>458</v>
      </c>
      <c r="AW2" s="5" t="s">
        <v>458</v>
      </c>
      <c r="AX2" s="5" t="s">
        <v>458</v>
      </c>
      <c r="AY2" s="5" t="s">
        <v>458</v>
      </c>
      <c r="AZ2" s="5" t="s">
        <v>458</v>
      </c>
      <c r="BA2" s="5" t="s">
        <v>458</v>
      </c>
      <c r="BB2" s="5" t="s">
        <v>458</v>
      </c>
      <c r="BC2" s="5" t="s">
        <v>458</v>
      </c>
      <c r="BD2" s="5" t="s">
        <v>458</v>
      </c>
      <c r="BE2" s="5"/>
    </row>
    <row r="3" spans="1:57" s="47" customFormat="1" x14ac:dyDescent="0.2">
      <c r="A3" s="319">
        <v>4</v>
      </c>
      <c r="B3" s="320">
        <v>6</v>
      </c>
      <c r="C3" s="320" t="s">
        <v>31</v>
      </c>
      <c r="D3" s="50">
        <v>30</v>
      </c>
      <c r="E3" s="51">
        <v>60</v>
      </c>
      <c r="F3" s="51">
        <v>90</v>
      </c>
      <c r="G3" s="51">
        <v>150</v>
      </c>
      <c r="H3" s="51">
        <v>240</v>
      </c>
      <c r="I3" s="51">
        <v>300</v>
      </c>
      <c r="J3" s="51">
        <v>360</v>
      </c>
      <c r="K3" s="19" t="s">
        <v>458</v>
      </c>
      <c r="L3" s="19" t="s">
        <v>458</v>
      </c>
      <c r="M3" s="19" t="s">
        <v>458</v>
      </c>
      <c r="N3" s="19" t="s">
        <v>458</v>
      </c>
      <c r="O3" s="19" t="s">
        <v>458</v>
      </c>
      <c r="P3" s="19" t="s">
        <v>458</v>
      </c>
      <c r="Q3" s="19" t="s">
        <v>458</v>
      </c>
      <c r="R3" s="19" t="s">
        <v>458</v>
      </c>
      <c r="S3" s="19" t="s">
        <v>458</v>
      </c>
      <c r="T3" s="19" t="s">
        <v>458</v>
      </c>
      <c r="U3" s="19" t="s">
        <v>458</v>
      </c>
      <c r="V3" s="19" t="s">
        <v>458</v>
      </c>
      <c r="W3" s="19" t="s">
        <v>458</v>
      </c>
      <c r="X3" s="19" t="s">
        <v>458</v>
      </c>
      <c r="Y3" s="19" t="s">
        <v>458</v>
      </c>
      <c r="Z3" s="19" t="s">
        <v>458</v>
      </c>
      <c r="AA3" s="19" t="s">
        <v>458</v>
      </c>
      <c r="AB3" s="19" t="s">
        <v>458</v>
      </c>
      <c r="AC3" s="19" t="s">
        <v>458</v>
      </c>
      <c r="AD3" s="19" t="s">
        <v>458</v>
      </c>
      <c r="AE3" s="19" t="s">
        <v>458</v>
      </c>
      <c r="AF3" s="19" t="s">
        <v>458</v>
      </c>
      <c r="AG3" s="19" t="s">
        <v>458</v>
      </c>
      <c r="AH3" s="19" t="s">
        <v>458</v>
      </c>
      <c r="AI3" s="19" t="s">
        <v>458</v>
      </c>
      <c r="AJ3" s="19" t="s">
        <v>458</v>
      </c>
      <c r="AK3" s="19" t="s">
        <v>458</v>
      </c>
      <c r="AL3" s="19" t="s">
        <v>458</v>
      </c>
      <c r="AM3" s="19" t="s">
        <v>458</v>
      </c>
      <c r="AN3" s="19" t="s">
        <v>458</v>
      </c>
      <c r="AO3" s="19" t="s">
        <v>458</v>
      </c>
      <c r="AP3" s="19" t="s">
        <v>458</v>
      </c>
      <c r="AQ3" s="19" t="s">
        <v>458</v>
      </c>
      <c r="AR3" s="19" t="s">
        <v>458</v>
      </c>
      <c r="AS3" s="19" t="s">
        <v>458</v>
      </c>
      <c r="AT3" s="19" t="s">
        <v>458</v>
      </c>
      <c r="AU3" s="19" t="s">
        <v>458</v>
      </c>
      <c r="AV3" s="19" t="s">
        <v>458</v>
      </c>
      <c r="AW3" s="19" t="s">
        <v>458</v>
      </c>
      <c r="AX3" s="19" t="s">
        <v>458</v>
      </c>
      <c r="AY3" s="19" t="s">
        <v>458</v>
      </c>
      <c r="AZ3" s="19" t="s">
        <v>458</v>
      </c>
      <c r="BA3" s="19" t="s">
        <v>458</v>
      </c>
      <c r="BB3" s="19" t="s">
        <v>458</v>
      </c>
      <c r="BC3" s="19" t="s">
        <v>458</v>
      </c>
      <c r="BD3" s="19" t="s">
        <v>458</v>
      </c>
      <c r="BE3" s="19"/>
    </row>
    <row r="4" spans="1:57" x14ac:dyDescent="0.2">
      <c r="A4" s="52">
        <v>5</v>
      </c>
      <c r="B4" s="41">
        <v>1</v>
      </c>
      <c r="C4" s="41" t="s">
        <v>161</v>
      </c>
      <c r="D4" s="5">
        <v>7</v>
      </c>
      <c r="E4" s="5">
        <v>14</v>
      </c>
      <c r="F4" s="5">
        <v>21</v>
      </c>
      <c r="G4" s="5">
        <v>28</v>
      </c>
      <c r="H4" s="5" t="s">
        <v>458</v>
      </c>
      <c r="I4" s="5" t="s">
        <v>458</v>
      </c>
      <c r="J4" s="5" t="s">
        <v>458</v>
      </c>
      <c r="K4" s="5" t="s">
        <v>458</v>
      </c>
      <c r="L4" s="5" t="s">
        <v>458</v>
      </c>
      <c r="M4" s="5" t="s">
        <v>458</v>
      </c>
      <c r="N4" s="5" t="s">
        <v>458</v>
      </c>
      <c r="O4" s="5" t="s">
        <v>458</v>
      </c>
      <c r="P4" s="5" t="s">
        <v>458</v>
      </c>
      <c r="Q4" s="5" t="s">
        <v>458</v>
      </c>
      <c r="R4" s="5" t="s">
        <v>458</v>
      </c>
      <c r="S4" s="5" t="s">
        <v>458</v>
      </c>
      <c r="T4" s="5" t="s">
        <v>458</v>
      </c>
      <c r="U4" s="5" t="s">
        <v>458</v>
      </c>
      <c r="V4" s="5" t="s">
        <v>458</v>
      </c>
      <c r="W4" s="5" t="s">
        <v>458</v>
      </c>
      <c r="X4" s="5" t="s">
        <v>458</v>
      </c>
      <c r="Y4" s="5" t="s">
        <v>458</v>
      </c>
      <c r="Z4" s="5" t="s">
        <v>458</v>
      </c>
      <c r="AA4" s="5" t="s">
        <v>458</v>
      </c>
      <c r="AB4" s="5" t="s">
        <v>458</v>
      </c>
      <c r="AC4" s="5" t="s">
        <v>458</v>
      </c>
      <c r="AD4" s="5" t="s">
        <v>458</v>
      </c>
      <c r="AE4" s="5" t="s">
        <v>458</v>
      </c>
      <c r="AF4" s="5" t="s">
        <v>458</v>
      </c>
      <c r="AG4" s="5" t="s">
        <v>458</v>
      </c>
      <c r="AH4" s="5" t="s">
        <v>458</v>
      </c>
      <c r="AI4" s="5" t="s">
        <v>458</v>
      </c>
      <c r="AJ4" s="5" t="s">
        <v>458</v>
      </c>
      <c r="AK4" s="5" t="s">
        <v>458</v>
      </c>
      <c r="AL4" s="5" t="s">
        <v>458</v>
      </c>
      <c r="AM4" s="5" t="s">
        <v>458</v>
      </c>
      <c r="AN4" s="5" t="s">
        <v>458</v>
      </c>
      <c r="AO4" s="5" t="s">
        <v>458</v>
      </c>
      <c r="AP4" s="5" t="s">
        <v>458</v>
      </c>
      <c r="AQ4" s="5" t="s">
        <v>458</v>
      </c>
      <c r="AR4" s="5" t="s">
        <v>458</v>
      </c>
      <c r="AS4" s="5" t="s">
        <v>458</v>
      </c>
      <c r="AT4" s="5" t="s">
        <v>458</v>
      </c>
      <c r="AU4" s="5" t="s">
        <v>458</v>
      </c>
      <c r="AV4" s="5" t="s">
        <v>458</v>
      </c>
      <c r="AW4" s="5" t="s">
        <v>458</v>
      </c>
      <c r="AX4" s="5" t="s">
        <v>458</v>
      </c>
      <c r="AY4" s="5" t="s">
        <v>458</v>
      </c>
      <c r="AZ4" s="5" t="s">
        <v>458</v>
      </c>
      <c r="BA4" s="5" t="s">
        <v>458</v>
      </c>
      <c r="BB4" s="5" t="s">
        <v>458</v>
      </c>
      <c r="BC4" s="5" t="s">
        <v>458</v>
      </c>
      <c r="BD4" s="5" t="s">
        <v>458</v>
      </c>
    </row>
    <row r="5" spans="1:57" x14ac:dyDescent="0.2">
      <c r="A5" s="52">
        <v>5</v>
      </c>
      <c r="B5" s="41">
        <v>2</v>
      </c>
      <c r="C5" s="41" t="s">
        <v>41</v>
      </c>
      <c r="D5" s="5">
        <v>7</v>
      </c>
      <c r="E5" s="5">
        <v>14</v>
      </c>
      <c r="F5" s="5">
        <v>21</v>
      </c>
      <c r="G5" s="5">
        <v>28</v>
      </c>
      <c r="H5" s="5" t="s">
        <v>458</v>
      </c>
      <c r="I5" s="5" t="s">
        <v>458</v>
      </c>
      <c r="J5" s="5" t="s">
        <v>458</v>
      </c>
      <c r="K5" s="5" t="s">
        <v>458</v>
      </c>
      <c r="L5" s="5" t="s">
        <v>458</v>
      </c>
      <c r="M5" s="5" t="s">
        <v>458</v>
      </c>
      <c r="N5" s="5" t="s">
        <v>458</v>
      </c>
      <c r="O5" s="5" t="s">
        <v>458</v>
      </c>
      <c r="P5" s="5" t="s">
        <v>458</v>
      </c>
      <c r="Q5" s="5" t="s">
        <v>458</v>
      </c>
      <c r="R5" s="5" t="s">
        <v>458</v>
      </c>
      <c r="S5" s="5" t="s">
        <v>458</v>
      </c>
      <c r="T5" s="5" t="s">
        <v>458</v>
      </c>
      <c r="U5" s="5" t="s">
        <v>458</v>
      </c>
      <c r="V5" s="5" t="s">
        <v>458</v>
      </c>
      <c r="W5" s="5" t="s">
        <v>458</v>
      </c>
      <c r="X5" s="5" t="s">
        <v>458</v>
      </c>
      <c r="Y5" s="5" t="s">
        <v>458</v>
      </c>
      <c r="Z5" s="5" t="s">
        <v>458</v>
      </c>
      <c r="AA5" s="5" t="s">
        <v>458</v>
      </c>
      <c r="AB5" s="5" t="s">
        <v>458</v>
      </c>
      <c r="AC5" s="5" t="s">
        <v>458</v>
      </c>
      <c r="AD5" s="5" t="s">
        <v>458</v>
      </c>
      <c r="AE5" s="5" t="s">
        <v>458</v>
      </c>
      <c r="AF5" s="5" t="s">
        <v>458</v>
      </c>
      <c r="AG5" s="5" t="s">
        <v>458</v>
      </c>
      <c r="AH5" s="5" t="s">
        <v>458</v>
      </c>
      <c r="AI5" s="5" t="s">
        <v>458</v>
      </c>
      <c r="AJ5" s="5" t="s">
        <v>458</v>
      </c>
      <c r="AK5" s="5" t="s">
        <v>458</v>
      </c>
      <c r="AL5" s="5" t="s">
        <v>458</v>
      </c>
      <c r="AM5" s="5" t="s">
        <v>458</v>
      </c>
      <c r="AN5" s="5" t="s">
        <v>458</v>
      </c>
      <c r="AO5" s="5" t="s">
        <v>458</v>
      </c>
      <c r="AP5" s="5" t="s">
        <v>458</v>
      </c>
      <c r="AQ5" s="5" t="s">
        <v>458</v>
      </c>
      <c r="AR5" s="5" t="s">
        <v>458</v>
      </c>
      <c r="AS5" s="5" t="s">
        <v>458</v>
      </c>
      <c r="AT5" s="5" t="s">
        <v>458</v>
      </c>
      <c r="AU5" s="5" t="s">
        <v>458</v>
      </c>
      <c r="AV5" s="5" t="s">
        <v>458</v>
      </c>
      <c r="AW5" s="5" t="s">
        <v>458</v>
      </c>
      <c r="AX5" s="5" t="s">
        <v>458</v>
      </c>
      <c r="AY5" s="5" t="s">
        <v>458</v>
      </c>
      <c r="AZ5" s="5" t="s">
        <v>458</v>
      </c>
      <c r="BA5" s="5" t="s">
        <v>458</v>
      </c>
      <c r="BB5" s="5" t="s">
        <v>458</v>
      </c>
      <c r="BC5" s="5" t="s">
        <v>458</v>
      </c>
      <c r="BD5" s="5" t="s">
        <v>458</v>
      </c>
    </row>
    <row r="6" spans="1:57" x14ac:dyDescent="0.2">
      <c r="A6" s="52">
        <v>5</v>
      </c>
      <c r="B6" s="41">
        <v>3</v>
      </c>
      <c r="C6" s="41" t="s">
        <v>41</v>
      </c>
      <c r="D6" s="5">
        <v>7</v>
      </c>
      <c r="E6" s="5">
        <v>14</v>
      </c>
      <c r="F6" s="5">
        <v>21</v>
      </c>
      <c r="G6" s="5">
        <v>28</v>
      </c>
      <c r="H6" s="5" t="s">
        <v>458</v>
      </c>
      <c r="I6" s="5" t="s">
        <v>458</v>
      </c>
      <c r="J6" s="5" t="s">
        <v>458</v>
      </c>
      <c r="K6" s="5" t="s">
        <v>458</v>
      </c>
      <c r="L6" s="5" t="s">
        <v>458</v>
      </c>
      <c r="M6" s="5" t="s">
        <v>458</v>
      </c>
      <c r="N6" s="5" t="s">
        <v>458</v>
      </c>
      <c r="O6" s="5" t="s">
        <v>458</v>
      </c>
      <c r="P6" s="5" t="s">
        <v>458</v>
      </c>
      <c r="Q6" s="5" t="s">
        <v>458</v>
      </c>
      <c r="R6" s="5" t="s">
        <v>458</v>
      </c>
      <c r="S6" s="5" t="s">
        <v>458</v>
      </c>
      <c r="T6" s="5" t="s">
        <v>458</v>
      </c>
      <c r="U6" s="5" t="s">
        <v>458</v>
      </c>
      <c r="V6" s="5" t="s">
        <v>458</v>
      </c>
      <c r="W6" s="5" t="s">
        <v>458</v>
      </c>
      <c r="X6" s="5" t="s">
        <v>458</v>
      </c>
      <c r="Y6" s="5" t="s">
        <v>458</v>
      </c>
      <c r="Z6" s="5" t="s">
        <v>458</v>
      </c>
      <c r="AA6" s="5" t="s">
        <v>458</v>
      </c>
      <c r="AB6" s="5" t="s">
        <v>458</v>
      </c>
      <c r="AC6" s="5" t="s">
        <v>458</v>
      </c>
      <c r="AD6" s="5" t="s">
        <v>458</v>
      </c>
      <c r="AE6" s="5" t="s">
        <v>458</v>
      </c>
      <c r="AF6" s="5" t="s">
        <v>458</v>
      </c>
      <c r="AG6" s="5" t="s">
        <v>458</v>
      </c>
      <c r="AH6" s="5" t="s">
        <v>458</v>
      </c>
      <c r="AI6" s="5" t="s">
        <v>458</v>
      </c>
      <c r="AJ6" s="5" t="s">
        <v>458</v>
      </c>
      <c r="AK6" s="5" t="s">
        <v>458</v>
      </c>
      <c r="AL6" s="5" t="s">
        <v>458</v>
      </c>
      <c r="AM6" s="5" t="s">
        <v>458</v>
      </c>
      <c r="AN6" s="5" t="s">
        <v>458</v>
      </c>
      <c r="AO6" s="5" t="s">
        <v>458</v>
      </c>
      <c r="AP6" s="5" t="s">
        <v>458</v>
      </c>
      <c r="AQ6" s="5" t="s">
        <v>458</v>
      </c>
      <c r="AR6" s="5" t="s">
        <v>458</v>
      </c>
      <c r="AS6" s="5" t="s">
        <v>458</v>
      </c>
      <c r="AT6" s="5" t="s">
        <v>458</v>
      </c>
      <c r="AU6" s="5" t="s">
        <v>458</v>
      </c>
      <c r="AV6" s="5" t="s">
        <v>458</v>
      </c>
      <c r="AW6" s="5" t="s">
        <v>458</v>
      </c>
      <c r="AX6" s="5" t="s">
        <v>458</v>
      </c>
      <c r="AY6" s="5" t="s">
        <v>458</v>
      </c>
      <c r="AZ6" s="5" t="s">
        <v>458</v>
      </c>
      <c r="BA6" s="5" t="s">
        <v>458</v>
      </c>
      <c r="BB6" s="5" t="s">
        <v>458</v>
      </c>
      <c r="BC6" s="5" t="s">
        <v>458</v>
      </c>
      <c r="BD6" s="5" t="s">
        <v>458</v>
      </c>
    </row>
    <row r="7" spans="1:57" x14ac:dyDescent="0.2">
      <c r="A7" s="52">
        <v>5</v>
      </c>
      <c r="B7" s="41">
        <v>4</v>
      </c>
      <c r="C7" s="41" t="s">
        <v>41</v>
      </c>
      <c r="D7" s="5">
        <v>7</v>
      </c>
      <c r="E7" s="5">
        <v>14</v>
      </c>
      <c r="F7" s="5">
        <v>21</v>
      </c>
      <c r="G7" s="5">
        <v>28</v>
      </c>
      <c r="H7" s="5" t="s">
        <v>458</v>
      </c>
      <c r="I7" s="5" t="s">
        <v>458</v>
      </c>
      <c r="J7" s="5" t="s">
        <v>458</v>
      </c>
      <c r="K7" s="5" t="s">
        <v>458</v>
      </c>
      <c r="L7" s="5" t="s">
        <v>458</v>
      </c>
      <c r="M7" s="5" t="s">
        <v>458</v>
      </c>
      <c r="N7" s="5" t="s">
        <v>458</v>
      </c>
      <c r="O7" s="5" t="s">
        <v>458</v>
      </c>
      <c r="P7" s="5" t="s">
        <v>458</v>
      </c>
      <c r="Q7" s="5" t="s">
        <v>458</v>
      </c>
      <c r="R7" s="5" t="s">
        <v>458</v>
      </c>
      <c r="S7" s="5" t="s">
        <v>458</v>
      </c>
      <c r="T7" s="5" t="s">
        <v>458</v>
      </c>
      <c r="U7" s="5" t="s">
        <v>458</v>
      </c>
      <c r="V7" s="5" t="s">
        <v>458</v>
      </c>
      <c r="W7" s="5" t="s">
        <v>458</v>
      </c>
      <c r="X7" s="5" t="s">
        <v>458</v>
      </c>
      <c r="Y7" s="5" t="s">
        <v>458</v>
      </c>
      <c r="Z7" s="5" t="s">
        <v>458</v>
      </c>
      <c r="AA7" s="5" t="s">
        <v>458</v>
      </c>
      <c r="AB7" s="5" t="s">
        <v>458</v>
      </c>
      <c r="AC7" s="5" t="s">
        <v>458</v>
      </c>
      <c r="AD7" s="5" t="s">
        <v>458</v>
      </c>
      <c r="AE7" s="5" t="s">
        <v>458</v>
      </c>
      <c r="AF7" s="5" t="s">
        <v>458</v>
      </c>
      <c r="AG7" s="5" t="s">
        <v>458</v>
      </c>
      <c r="AH7" s="5" t="s">
        <v>458</v>
      </c>
      <c r="AI7" s="5" t="s">
        <v>458</v>
      </c>
      <c r="AJ7" s="5" t="s">
        <v>458</v>
      </c>
      <c r="AK7" s="5" t="s">
        <v>458</v>
      </c>
      <c r="AL7" s="5" t="s">
        <v>458</v>
      </c>
      <c r="AM7" s="5" t="s">
        <v>458</v>
      </c>
      <c r="AN7" s="5" t="s">
        <v>458</v>
      </c>
      <c r="AO7" s="5" t="s">
        <v>458</v>
      </c>
      <c r="AP7" s="5" t="s">
        <v>458</v>
      </c>
      <c r="AQ7" s="5" t="s">
        <v>458</v>
      </c>
      <c r="AR7" s="5" t="s">
        <v>458</v>
      </c>
      <c r="AS7" s="5" t="s">
        <v>458</v>
      </c>
      <c r="AT7" s="5" t="s">
        <v>458</v>
      </c>
      <c r="AU7" s="5" t="s">
        <v>458</v>
      </c>
      <c r="AV7" s="5" t="s">
        <v>458</v>
      </c>
      <c r="AW7" s="5" t="s">
        <v>458</v>
      </c>
      <c r="AX7" s="5" t="s">
        <v>458</v>
      </c>
      <c r="AY7" s="5" t="s">
        <v>458</v>
      </c>
      <c r="AZ7" s="5" t="s">
        <v>458</v>
      </c>
      <c r="BA7" s="5" t="s">
        <v>458</v>
      </c>
      <c r="BB7" s="5" t="s">
        <v>458</v>
      </c>
      <c r="BC7" s="5" t="s">
        <v>458</v>
      </c>
      <c r="BD7" s="5" t="s">
        <v>458</v>
      </c>
    </row>
    <row r="8" spans="1:57" x14ac:dyDescent="0.2">
      <c r="A8" s="52">
        <v>5</v>
      </c>
      <c r="B8" s="41">
        <v>5</v>
      </c>
      <c r="C8" s="41" t="s">
        <v>41</v>
      </c>
      <c r="D8" s="5">
        <v>7</v>
      </c>
      <c r="E8" s="5">
        <v>14</v>
      </c>
      <c r="F8" s="5">
        <v>21</v>
      </c>
      <c r="G8" s="5">
        <v>28</v>
      </c>
      <c r="H8" s="5" t="s">
        <v>458</v>
      </c>
      <c r="I8" s="5" t="s">
        <v>458</v>
      </c>
      <c r="J8" s="5" t="s">
        <v>458</v>
      </c>
      <c r="K8" s="5" t="s">
        <v>458</v>
      </c>
      <c r="L8" s="5" t="s">
        <v>458</v>
      </c>
      <c r="M8" s="5" t="s">
        <v>458</v>
      </c>
      <c r="N8" s="5" t="s">
        <v>458</v>
      </c>
      <c r="O8" s="5" t="s">
        <v>458</v>
      </c>
      <c r="P8" s="5" t="s">
        <v>458</v>
      </c>
      <c r="Q8" s="5" t="s">
        <v>458</v>
      </c>
      <c r="R8" s="5" t="s">
        <v>458</v>
      </c>
      <c r="S8" s="5" t="s">
        <v>458</v>
      </c>
      <c r="T8" s="5" t="s">
        <v>458</v>
      </c>
      <c r="U8" s="5" t="s">
        <v>458</v>
      </c>
      <c r="V8" s="5" t="s">
        <v>458</v>
      </c>
      <c r="W8" s="5" t="s">
        <v>458</v>
      </c>
      <c r="X8" s="5" t="s">
        <v>458</v>
      </c>
      <c r="Y8" s="5" t="s">
        <v>458</v>
      </c>
      <c r="Z8" s="5" t="s">
        <v>458</v>
      </c>
      <c r="AA8" s="5" t="s">
        <v>458</v>
      </c>
      <c r="AB8" s="5" t="s">
        <v>458</v>
      </c>
      <c r="AC8" s="5" t="s">
        <v>458</v>
      </c>
      <c r="AD8" s="5" t="s">
        <v>458</v>
      </c>
      <c r="AE8" s="5" t="s">
        <v>458</v>
      </c>
      <c r="AF8" s="5" t="s">
        <v>458</v>
      </c>
      <c r="AG8" s="5" t="s">
        <v>458</v>
      </c>
      <c r="AH8" s="5" t="s">
        <v>458</v>
      </c>
      <c r="AI8" s="5" t="s">
        <v>458</v>
      </c>
      <c r="AJ8" s="5" t="s">
        <v>458</v>
      </c>
      <c r="AK8" s="5" t="s">
        <v>458</v>
      </c>
      <c r="AL8" s="5" t="s">
        <v>458</v>
      </c>
      <c r="AM8" s="5" t="s">
        <v>458</v>
      </c>
      <c r="AN8" s="5" t="s">
        <v>458</v>
      </c>
      <c r="AO8" s="5" t="s">
        <v>458</v>
      </c>
      <c r="AP8" s="5" t="s">
        <v>458</v>
      </c>
      <c r="AQ8" s="5" t="s">
        <v>458</v>
      </c>
      <c r="AR8" s="5" t="s">
        <v>458</v>
      </c>
      <c r="AS8" s="5" t="s">
        <v>458</v>
      </c>
      <c r="AT8" s="5" t="s">
        <v>458</v>
      </c>
      <c r="AU8" s="5" t="s">
        <v>458</v>
      </c>
      <c r="AV8" s="5" t="s">
        <v>458</v>
      </c>
      <c r="AW8" s="5" t="s">
        <v>458</v>
      </c>
      <c r="AX8" s="5" t="s">
        <v>458</v>
      </c>
      <c r="AY8" s="5" t="s">
        <v>458</v>
      </c>
      <c r="AZ8" s="5" t="s">
        <v>458</v>
      </c>
      <c r="BA8" s="5" t="s">
        <v>458</v>
      </c>
      <c r="BB8" s="5" t="s">
        <v>458</v>
      </c>
      <c r="BC8" s="5" t="s">
        <v>458</v>
      </c>
      <c r="BD8" s="5" t="s">
        <v>458</v>
      </c>
    </row>
    <row r="9" spans="1:57" x14ac:dyDescent="0.2">
      <c r="A9" s="52">
        <v>5</v>
      </c>
      <c r="B9" s="41">
        <v>6</v>
      </c>
      <c r="C9" s="41" t="s">
        <v>41</v>
      </c>
      <c r="D9" s="5">
        <v>7</v>
      </c>
      <c r="E9" s="5">
        <v>14</v>
      </c>
      <c r="F9" s="5">
        <v>21</v>
      </c>
      <c r="G9" s="5">
        <v>28</v>
      </c>
      <c r="H9" s="5" t="s">
        <v>458</v>
      </c>
      <c r="I9" s="5" t="s">
        <v>458</v>
      </c>
      <c r="J9" s="5" t="s">
        <v>458</v>
      </c>
      <c r="K9" s="5" t="s">
        <v>458</v>
      </c>
      <c r="L9" s="5" t="s">
        <v>458</v>
      </c>
      <c r="M9" s="5" t="s">
        <v>458</v>
      </c>
      <c r="N9" s="5" t="s">
        <v>458</v>
      </c>
      <c r="O9" s="5" t="s">
        <v>458</v>
      </c>
      <c r="P9" s="5" t="s">
        <v>458</v>
      </c>
      <c r="Q9" s="5" t="s">
        <v>458</v>
      </c>
      <c r="R9" s="5" t="s">
        <v>458</v>
      </c>
      <c r="S9" s="5" t="s">
        <v>458</v>
      </c>
      <c r="T9" s="5" t="s">
        <v>458</v>
      </c>
      <c r="U9" s="5" t="s">
        <v>458</v>
      </c>
      <c r="V9" s="5" t="s">
        <v>458</v>
      </c>
      <c r="W9" s="5" t="s">
        <v>458</v>
      </c>
      <c r="X9" s="5" t="s">
        <v>458</v>
      </c>
      <c r="Y9" s="5" t="s">
        <v>458</v>
      </c>
      <c r="Z9" s="5" t="s">
        <v>458</v>
      </c>
      <c r="AA9" s="5" t="s">
        <v>458</v>
      </c>
      <c r="AB9" s="5" t="s">
        <v>458</v>
      </c>
      <c r="AC9" s="5" t="s">
        <v>458</v>
      </c>
      <c r="AD9" s="5" t="s">
        <v>458</v>
      </c>
      <c r="AE9" s="5" t="s">
        <v>458</v>
      </c>
      <c r="AF9" s="5" t="s">
        <v>458</v>
      </c>
      <c r="AG9" s="5" t="s">
        <v>458</v>
      </c>
      <c r="AH9" s="5" t="s">
        <v>458</v>
      </c>
      <c r="AI9" s="5" t="s">
        <v>458</v>
      </c>
      <c r="AJ9" s="5" t="s">
        <v>458</v>
      </c>
      <c r="AK9" s="5" t="s">
        <v>458</v>
      </c>
      <c r="AL9" s="5" t="s">
        <v>458</v>
      </c>
      <c r="AM9" s="5" t="s">
        <v>458</v>
      </c>
      <c r="AN9" s="5" t="s">
        <v>458</v>
      </c>
      <c r="AO9" s="5" t="s">
        <v>458</v>
      </c>
      <c r="AP9" s="5" t="s">
        <v>458</v>
      </c>
      <c r="AQ9" s="5" t="s">
        <v>458</v>
      </c>
      <c r="AR9" s="5" t="s">
        <v>458</v>
      </c>
      <c r="AS9" s="5" t="s">
        <v>458</v>
      </c>
      <c r="AT9" s="5" t="s">
        <v>458</v>
      </c>
      <c r="AU9" s="5" t="s">
        <v>458</v>
      </c>
      <c r="AV9" s="5" t="s">
        <v>458</v>
      </c>
      <c r="AW9" s="5" t="s">
        <v>458</v>
      </c>
      <c r="AX9" s="5" t="s">
        <v>458</v>
      </c>
      <c r="AY9" s="5" t="s">
        <v>458</v>
      </c>
      <c r="AZ9" s="5" t="s">
        <v>458</v>
      </c>
      <c r="BA9" s="5" t="s">
        <v>458</v>
      </c>
      <c r="BB9" s="5" t="s">
        <v>458</v>
      </c>
      <c r="BC9" s="5" t="s">
        <v>458</v>
      </c>
      <c r="BD9" s="5" t="s">
        <v>458</v>
      </c>
    </row>
    <row r="10" spans="1:57" x14ac:dyDescent="0.2">
      <c r="A10" s="52">
        <v>5</v>
      </c>
      <c r="B10" s="41">
        <v>7</v>
      </c>
      <c r="C10" s="41" t="s">
        <v>41</v>
      </c>
      <c r="D10" s="5">
        <v>7</v>
      </c>
      <c r="E10" s="5">
        <v>14</v>
      </c>
      <c r="F10" s="5">
        <v>21</v>
      </c>
      <c r="G10" s="5">
        <v>28</v>
      </c>
      <c r="H10" s="5" t="s">
        <v>458</v>
      </c>
      <c r="I10" s="5" t="s">
        <v>458</v>
      </c>
      <c r="J10" s="5" t="s">
        <v>458</v>
      </c>
      <c r="K10" s="5" t="s">
        <v>458</v>
      </c>
      <c r="L10" s="5" t="s">
        <v>458</v>
      </c>
      <c r="M10" s="5" t="s">
        <v>458</v>
      </c>
      <c r="N10" s="5" t="s">
        <v>458</v>
      </c>
      <c r="O10" s="5" t="s">
        <v>458</v>
      </c>
      <c r="P10" s="5" t="s">
        <v>458</v>
      </c>
      <c r="Q10" s="5" t="s">
        <v>458</v>
      </c>
      <c r="R10" s="5" t="s">
        <v>458</v>
      </c>
      <c r="S10" s="5" t="s">
        <v>458</v>
      </c>
      <c r="T10" s="5" t="s">
        <v>458</v>
      </c>
      <c r="U10" s="5" t="s">
        <v>458</v>
      </c>
      <c r="V10" s="5" t="s">
        <v>458</v>
      </c>
      <c r="W10" s="5" t="s">
        <v>458</v>
      </c>
      <c r="X10" s="5" t="s">
        <v>458</v>
      </c>
      <c r="Y10" s="5" t="s">
        <v>458</v>
      </c>
      <c r="Z10" s="5" t="s">
        <v>458</v>
      </c>
      <c r="AA10" s="5" t="s">
        <v>458</v>
      </c>
      <c r="AB10" s="5" t="s">
        <v>458</v>
      </c>
      <c r="AC10" s="5" t="s">
        <v>458</v>
      </c>
      <c r="AD10" s="5" t="s">
        <v>458</v>
      </c>
      <c r="AE10" s="5" t="s">
        <v>458</v>
      </c>
      <c r="AF10" s="5" t="s">
        <v>458</v>
      </c>
      <c r="AG10" s="5" t="s">
        <v>458</v>
      </c>
      <c r="AH10" s="5" t="s">
        <v>458</v>
      </c>
      <c r="AI10" s="5" t="s">
        <v>458</v>
      </c>
      <c r="AJ10" s="5" t="s">
        <v>458</v>
      </c>
      <c r="AK10" s="5" t="s">
        <v>458</v>
      </c>
      <c r="AL10" s="5" t="s">
        <v>458</v>
      </c>
      <c r="AM10" s="5" t="s">
        <v>458</v>
      </c>
      <c r="AN10" s="5" t="s">
        <v>458</v>
      </c>
      <c r="AO10" s="5" t="s">
        <v>458</v>
      </c>
      <c r="AP10" s="5" t="s">
        <v>458</v>
      </c>
      <c r="AQ10" s="5" t="s">
        <v>458</v>
      </c>
      <c r="AR10" s="5" t="s">
        <v>458</v>
      </c>
      <c r="AS10" s="5" t="s">
        <v>458</v>
      </c>
      <c r="AT10" s="5" t="s">
        <v>458</v>
      </c>
      <c r="AU10" s="5" t="s">
        <v>458</v>
      </c>
      <c r="AV10" s="5" t="s">
        <v>458</v>
      </c>
      <c r="AW10" s="5" t="s">
        <v>458</v>
      </c>
      <c r="AX10" s="5" t="s">
        <v>458</v>
      </c>
      <c r="AY10" s="5" t="s">
        <v>458</v>
      </c>
      <c r="AZ10" s="5" t="s">
        <v>458</v>
      </c>
      <c r="BA10" s="5" t="s">
        <v>458</v>
      </c>
      <c r="BB10" s="5" t="s">
        <v>458</v>
      </c>
      <c r="BC10" s="5" t="s">
        <v>458</v>
      </c>
      <c r="BD10" s="5" t="s">
        <v>458</v>
      </c>
    </row>
    <row r="11" spans="1:57" x14ac:dyDescent="0.2">
      <c r="A11" s="52">
        <v>5</v>
      </c>
      <c r="B11" s="41">
        <v>8</v>
      </c>
      <c r="C11" s="41" t="s">
        <v>41</v>
      </c>
      <c r="D11" s="5">
        <v>7</v>
      </c>
      <c r="E11" s="5">
        <v>14</v>
      </c>
      <c r="F11" s="5">
        <v>21</v>
      </c>
      <c r="G11" s="5">
        <v>28</v>
      </c>
      <c r="H11" s="5" t="s">
        <v>458</v>
      </c>
      <c r="I11" s="5" t="s">
        <v>458</v>
      </c>
      <c r="J11" s="5" t="s">
        <v>458</v>
      </c>
      <c r="K11" s="5" t="s">
        <v>458</v>
      </c>
      <c r="L11" s="5" t="s">
        <v>458</v>
      </c>
      <c r="M11" s="5" t="s">
        <v>458</v>
      </c>
      <c r="N11" s="5" t="s">
        <v>458</v>
      </c>
      <c r="O11" s="5" t="s">
        <v>458</v>
      </c>
      <c r="P11" s="5" t="s">
        <v>458</v>
      </c>
      <c r="Q11" s="5" t="s">
        <v>458</v>
      </c>
      <c r="R11" s="5" t="s">
        <v>458</v>
      </c>
      <c r="S11" s="5" t="s">
        <v>458</v>
      </c>
      <c r="T11" s="5" t="s">
        <v>458</v>
      </c>
      <c r="U11" s="5" t="s">
        <v>458</v>
      </c>
      <c r="V11" s="5" t="s">
        <v>458</v>
      </c>
      <c r="W11" s="5" t="s">
        <v>458</v>
      </c>
      <c r="X11" s="5" t="s">
        <v>458</v>
      </c>
      <c r="Y11" s="5" t="s">
        <v>458</v>
      </c>
      <c r="Z11" s="5" t="s">
        <v>458</v>
      </c>
      <c r="AA11" s="5" t="s">
        <v>458</v>
      </c>
      <c r="AB11" s="5" t="s">
        <v>458</v>
      </c>
      <c r="AC11" s="5" t="s">
        <v>458</v>
      </c>
      <c r="AD11" s="5" t="s">
        <v>458</v>
      </c>
      <c r="AE11" s="5" t="s">
        <v>458</v>
      </c>
      <c r="AF11" s="5" t="s">
        <v>458</v>
      </c>
      <c r="AG11" s="5" t="s">
        <v>458</v>
      </c>
      <c r="AH11" s="5" t="s">
        <v>458</v>
      </c>
      <c r="AI11" s="5" t="s">
        <v>458</v>
      </c>
      <c r="AJ11" s="5" t="s">
        <v>458</v>
      </c>
      <c r="AK11" s="5" t="s">
        <v>458</v>
      </c>
      <c r="AL11" s="5" t="s">
        <v>458</v>
      </c>
      <c r="AM11" s="5" t="s">
        <v>458</v>
      </c>
      <c r="AN11" s="5" t="s">
        <v>458</v>
      </c>
      <c r="AO11" s="5" t="s">
        <v>458</v>
      </c>
      <c r="AP11" s="5" t="s">
        <v>458</v>
      </c>
      <c r="AQ11" s="5" t="s">
        <v>458</v>
      </c>
      <c r="AR11" s="5" t="s">
        <v>458</v>
      </c>
      <c r="AS11" s="5" t="s">
        <v>458</v>
      </c>
      <c r="AT11" s="5" t="s">
        <v>458</v>
      </c>
      <c r="AU11" s="5" t="s">
        <v>458</v>
      </c>
      <c r="AV11" s="5" t="s">
        <v>458</v>
      </c>
      <c r="AW11" s="5" t="s">
        <v>458</v>
      </c>
      <c r="AX11" s="5" t="s">
        <v>458</v>
      </c>
      <c r="AY11" s="5" t="s">
        <v>458</v>
      </c>
      <c r="AZ11" s="5" t="s">
        <v>458</v>
      </c>
      <c r="BA11" s="5" t="s">
        <v>458</v>
      </c>
      <c r="BB11" s="5" t="s">
        <v>458</v>
      </c>
      <c r="BC11" s="5" t="s">
        <v>458</v>
      </c>
      <c r="BD11" s="5" t="s">
        <v>458</v>
      </c>
    </row>
    <row r="12" spans="1:57" x14ac:dyDescent="0.2">
      <c r="A12" s="52">
        <v>5</v>
      </c>
      <c r="B12" s="41">
        <v>9</v>
      </c>
      <c r="C12" s="41" t="s">
        <v>161</v>
      </c>
      <c r="D12" s="5">
        <v>7</v>
      </c>
      <c r="E12" s="5">
        <v>14</v>
      </c>
      <c r="F12" s="5">
        <v>21</v>
      </c>
      <c r="G12" s="5">
        <v>28</v>
      </c>
      <c r="H12" s="5" t="s">
        <v>458</v>
      </c>
      <c r="I12" s="5" t="s">
        <v>458</v>
      </c>
      <c r="J12" s="5" t="s">
        <v>458</v>
      </c>
      <c r="K12" s="5" t="s">
        <v>458</v>
      </c>
      <c r="L12" s="5" t="s">
        <v>458</v>
      </c>
      <c r="M12" s="5" t="s">
        <v>458</v>
      </c>
      <c r="N12" s="5" t="s">
        <v>458</v>
      </c>
      <c r="O12" s="5" t="s">
        <v>458</v>
      </c>
      <c r="P12" s="5" t="s">
        <v>458</v>
      </c>
      <c r="Q12" s="5" t="s">
        <v>458</v>
      </c>
      <c r="R12" s="5" t="s">
        <v>458</v>
      </c>
      <c r="S12" s="5" t="s">
        <v>458</v>
      </c>
      <c r="T12" s="5" t="s">
        <v>458</v>
      </c>
      <c r="U12" s="5" t="s">
        <v>458</v>
      </c>
      <c r="V12" s="5" t="s">
        <v>458</v>
      </c>
      <c r="W12" s="5" t="s">
        <v>458</v>
      </c>
      <c r="X12" s="5" t="s">
        <v>458</v>
      </c>
      <c r="Y12" s="5" t="s">
        <v>458</v>
      </c>
      <c r="Z12" s="5" t="s">
        <v>458</v>
      </c>
      <c r="AA12" s="5" t="s">
        <v>458</v>
      </c>
      <c r="AB12" s="5" t="s">
        <v>458</v>
      </c>
      <c r="AC12" s="5" t="s">
        <v>458</v>
      </c>
      <c r="AD12" s="5" t="s">
        <v>458</v>
      </c>
      <c r="AE12" s="5" t="s">
        <v>458</v>
      </c>
      <c r="AF12" s="5" t="s">
        <v>458</v>
      </c>
      <c r="AG12" s="5" t="s">
        <v>458</v>
      </c>
      <c r="AH12" s="5" t="s">
        <v>458</v>
      </c>
      <c r="AI12" s="5" t="s">
        <v>458</v>
      </c>
      <c r="AJ12" s="5" t="s">
        <v>458</v>
      </c>
      <c r="AK12" s="5" t="s">
        <v>458</v>
      </c>
      <c r="AL12" s="5" t="s">
        <v>458</v>
      </c>
      <c r="AM12" s="5" t="s">
        <v>458</v>
      </c>
      <c r="AN12" s="5" t="s">
        <v>458</v>
      </c>
      <c r="AO12" s="5" t="s">
        <v>458</v>
      </c>
      <c r="AP12" s="5" t="s">
        <v>458</v>
      </c>
      <c r="AQ12" s="5" t="s">
        <v>458</v>
      </c>
      <c r="AR12" s="5" t="s">
        <v>458</v>
      </c>
      <c r="AS12" s="5" t="s">
        <v>458</v>
      </c>
      <c r="AT12" s="5" t="s">
        <v>458</v>
      </c>
      <c r="AU12" s="5" t="s">
        <v>458</v>
      </c>
      <c r="AV12" s="5" t="s">
        <v>458</v>
      </c>
      <c r="AW12" s="5" t="s">
        <v>458</v>
      </c>
      <c r="AX12" s="5" t="s">
        <v>458</v>
      </c>
      <c r="AY12" s="5" t="s">
        <v>458</v>
      </c>
      <c r="AZ12" s="5" t="s">
        <v>458</v>
      </c>
      <c r="BA12" s="5" t="s">
        <v>458</v>
      </c>
      <c r="BB12" s="5" t="s">
        <v>458</v>
      </c>
      <c r="BC12" s="5" t="s">
        <v>458</v>
      </c>
      <c r="BD12" s="5" t="s">
        <v>458</v>
      </c>
    </row>
    <row r="13" spans="1:57" x14ac:dyDescent="0.2">
      <c r="A13" s="52">
        <v>5</v>
      </c>
      <c r="B13" s="41">
        <v>10</v>
      </c>
      <c r="C13" s="41" t="s">
        <v>42</v>
      </c>
      <c r="D13" s="5">
        <v>7</v>
      </c>
      <c r="E13" s="5">
        <v>14</v>
      </c>
      <c r="F13" s="5">
        <v>21</v>
      </c>
      <c r="G13" s="5">
        <v>28</v>
      </c>
      <c r="H13" s="5" t="s">
        <v>458</v>
      </c>
      <c r="I13" s="5" t="s">
        <v>458</v>
      </c>
      <c r="J13" s="5" t="s">
        <v>458</v>
      </c>
      <c r="K13" s="5" t="s">
        <v>458</v>
      </c>
      <c r="L13" s="5" t="s">
        <v>458</v>
      </c>
      <c r="M13" s="5" t="s">
        <v>458</v>
      </c>
      <c r="N13" s="5" t="s">
        <v>458</v>
      </c>
      <c r="O13" s="5" t="s">
        <v>458</v>
      </c>
      <c r="P13" s="5" t="s">
        <v>458</v>
      </c>
      <c r="Q13" s="5" t="s">
        <v>458</v>
      </c>
      <c r="R13" s="5" t="s">
        <v>458</v>
      </c>
      <c r="S13" s="5" t="s">
        <v>458</v>
      </c>
      <c r="T13" s="5" t="s">
        <v>458</v>
      </c>
      <c r="U13" s="5" t="s">
        <v>458</v>
      </c>
      <c r="V13" s="5" t="s">
        <v>458</v>
      </c>
      <c r="W13" s="5" t="s">
        <v>458</v>
      </c>
      <c r="X13" s="5" t="s">
        <v>458</v>
      </c>
      <c r="Y13" s="5" t="s">
        <v>458</v>
      </c>
      <c r="Z13" s="5" t="s">
        <v>458</v>
      </c>
      <c r="AA13" s="5" t="s">
        <v>458</v>
      </c>
      <c r="AB13" s="5" t="s">
        <v>458</v>
      </c>
      <c r="AC13" s="5" t="s">
        <v>458</v>
      </c>
      <c r="AD13" s="5" t="s">
        <v>458</v>
      </c>
      <c r="AE13" s="5" t="s">
        <v>458</v>
      </c>
      <c r="AF13" s="5" t="s">
        <v>458</v>
      </c>
      <c r="AG13" s="5" t="s">
        <v>458</v>
      </c>
      <c r="AH13" s="5" t="s">
        <v>458</v>
      </c>
      <c r="AI13" s="5" t="s">
        <v>458</v>
      </c>
      <c r="AJ13" s="5" t="s">
        <v>458</v>
      </c>
      <c r="AK13" s="5" t="s">
        <v>458</v>
      </c>
      <c r="AL13" s="5" t="s">
        <v>458</v>
      </c>
      <c r="AM13" s="5" t="s">
        <v>458</v>
      </c>
      <c r="AN13" s="5" t="s">
        <v>458</v>
      </c>
      <c r="AO13" s="5" t="s">
        <v>458</v>
      </c>
      <c r="AP13" s="5" t="s">
        <v>458</v>
      </c>
      <c r="AQ13" s="5" t="s">
        <v>458</v>
      </c>
      <c r="AR13" s="5" t="s">
        <v>458</v>
      </c>
      <c r="AS13" s="5" t="s">
        <v>458</v>
      </c>
      <c r="AT13" s="5" t="s">
        <v>458</v>
      </c>
      <c r="AU13" s="5" t="s">
        <v>458</v>
      </c>
      <c r="AV13" s="5" t="s">
        <v>458</v>
      </c>
      <c r="AW13" s="5" t="s">
        <v>458</v>
      </c>
      <c r="AX13" s="5" t="s">
        <v>458</v>
      </c>
      <c r="AY13" s="5" t="s">
        <v>458</v>
      </c>
      <c r="AZ13" s="5" t="s">
        <v>458</v>
      </c>
      <c r="BA13" s="5" t="s">
        <v>458</v>
      </c>
      <c r="BB13" s="5" t="s">
        <v>458</v>
      </c>
      <c r="BC13" s="5" t="s">
        <v>458</v>
      </c>
      <c r="BD13" s="5" t="s">
        <v>458</v>
      </c>
    </row>
    <row r="14" spans="1:57" x14ac:dyDescent="0.2">
      <c r="A14" s="52">
        <v>5</v>
      </c>
      <c r="B14" s="41">
        <v>11</v>
      </c>
      <c r="C14" s="41" t="s">
        <v>42</v>
      </c>
      <c r="D14" s="5">
        <v>7</v>
      </c>
      <c r="E14" s="5">
        <v>14</v>
      </c>
      <c r="F14" s="5">
        <v>21</v>
      </c>
      <c r="G14" s="5">
        <v>28</v>
      </c>
      <c r="H14" s="5" t="s">
        <v>458</v>
      </c>
      <c r="I14" s="5" t="s">
        <v>458</v>
      </c>
      <c r="J14" s="5" t="s">
        <v>458</v>
      </c>
      <c r="K14" s="5" t="s">
        <v>458</v>
      </c>
      <c r="L14" s="5" t="s">
        <v>458</v>
      </c>
      <c r="M14" s="5" t="s">
        <v>458</v>
      </c>
      <c r="N14" s="5" t="s">
        <v>458</v>
      </c>
      <c r="O14" s="5" t="s">
        <v>458</v>
      </c>
      <c r="P14" s="5" t="s">
        <v>458</v>
      </c>
      <c r="Q14" s="5" t="s">
        <v>458</v>
      </c>
      <c r="R14" s="5" t="s">
        <v>458</v>
      </c>
      <c r="S14" s="5" t="s">
        <v>458</v>
      </c>
      <c r="T14" s="5" t="s">
        <v>458</v>
      </c>
      <c r="U14" s="5" t="s">
        <v>458</v>
      </c>
      <c r="V14" s="5" t="s">
        <v>458</v>
      </c>
      <c r="W14" s="5" t="s">
        <v>458</v>
      </c>
      <c r="X14" s="5" t="s">
        <v>458</v>
      </c>
      <c r="Y14" s="5" t="s">
        <v>458</v>
      </c>
      <c r="Z14" s="5" t="s">
        <v>458</v>
      </c>
      <c r="AA14" s="5" t="s">
        <v>458</v>
      </c>
      <c r="AB14" s="5" t="s">
        <v>458</v>
      </c>
      <c r="AC14" s="5" t="s">
        <v>458</v>
      </c>
      <c r="AD14" s="5" t="s">
        <v>458</v>
      </c>
      <c r="AE14" s="5" t="s">
        <v>458</v>
      </c>
      <c r="AF14" s="5" t="s">
        <v>458</v>
      </c>
      <c r="AG14" s="5" t="s">
        <v>458</v>
      </c>
      <c r="AH14" s="5" t="s">
        <v>458</v>
      </c>
      <c r="AI14" s="5" t="s">
        <v>458</v>
      </c>
      <c r="AJ14" s="5" t="s">
        <v>458</v>
      </c>
      <c r="AK14" s="5" t="s">
        <v>458</v>
      </c>
      <c r="AL14" s="5" t="s">
        <v>458</v>
      </c>
      <c r="AM14" s="5" t="s">
        <v>458</v>
      </c>
      <c r="AN14" s="5" t="s">
        <v>458</v>
      </c>
      <c r="AO14" s="5" t="s">
        <v>458</v>
      </c>
      <c r="AP14" s="5" t="s">
        <v>458</v>
      </c>
      <c r="AQ14" s="5" t="s">
        <v>458</v>
      </c>
      <c r="AR14" s="5" t="s">
        <v>458</v>
      </c>
      <c r="AS14" s="5" t="s">
        <v>458</v>
      </c>
      <c r="AT14" s="5" t="s">
        <v>458</v>
      </c>
      <c r="AU14" s="5" t="s">
        <v>458</v>
      </c>
      <c r="AV14" s="5" t="s">
        <v>458</v>
      </c>
      <c r="AW14" s="5" t="s">
        <v>458</v>
      </c>
      <c r="AX14" s="5" t="s">
        <v>458</v>
      </c>
      <c r="AY14" s="5" t="s">
        <v>458</v>
      </c>
      <c r="AZ14" s="5" t="s">
        <v>458</v>
      </c>
      <c r="BA14" s="5" t="s">
        <v>458</v>
      </c>
      <c r="BB14" s="5" t="s">
        <v>458</v>
      </c>
      <c r="BC14" s="5" t="s">
        <v>458</v>
      </c>
      <c r="BD14" s="5" t="s">
        <v>458</v>
      </c>
    </row>
    <row r="15" spans="1:57" x14ac:dyDescent="0.2">
      <c r="A15" s="52">
        <v>5</v>
      </c>
      <c r="B15" s="41">
        <v>12</v>
      </c>
      <c r="C15" s="41" t="s">
        <v>42</v>
      </c>
      <c r="D15" s="5">
        <v>7</v>
      </c>
      <c r="E15" s="5">
        <v>14</v>
      </c>
      <c r="F15" s="5">
        <v>21</v>
      </c>
      <c r="G15" s="5">
        <v>28</v>
      </c>
      <c r="H15" s="5" t="s">
        <v>458</v>
      </c>
      <c r="I15" s="5" t="s">
        <v>458</v>
      </c>
      <c r="J15" s="5" t="s">
        <v>458</v>
      </c>
      <c r="K15" s="5" t="s">
        <v>458</v>
      </c>
      <c r="L15" s="5" t="s">
        <v>458</v>
      </c>
      <c r="M15" s="5" t="s">
        <v>458</v>
      </c>
      <c r="N15" s="5" t="s">
        <v>458</v>
      </c>
      <c r="O15" s="5" t="s">
        <v>458</v>
      </c>
      <c r="P15" s="5" t="s">
        <v>458</v>
      </c>
      <c r="Q15" s="5" t="s">
        <v>458</v>
      </c>
      <c r="R15" s="5" t="s">
        <v>458</v>
      </c>
      <c r="S15" s="5" t="s">
        <v>458</v>
      </c>
      <c r="T15" s="5" t="s">
        <v>458</v>
      </c>
      <c r="U15" s="5" t="s">
        <v>458</v>
      </c>
      <c r="V15" s="5" t="s">
        <v>458</v>
      </c>
      <c r="W15" s="5" t="s">
        <v>458</v>
      </c>
      <c r="X15" s="5" t="s">
        <v>458</v>
      </c>
      <c r="Y15" s="5" t="s">
        <v>458</v>
      </c>
      <c r="Z15" s="5" t="s">
        <v>458</v>
      </c>
      <c r="AA15" s="5" t="s">
        <v>458</v>
      </c>
      <c r="AB15" s="5" t="s">
        <v>458</v>
      </c>
      <c r="AC15" s="5" t="s">
        <v>458</v>
      </c>
      <c r="AD15" s="5" t="s">
        <v>458</v>
      </c>
      <c r="AE15" s="5" t="s">
        <v>458</v>
      </c>
      <c r="AF15" s="5" t="s">
        <v>458</v>
      </c>
      <c r="AG15" s="5" t="s">
        <v>458</v>
      </c>
      <c r="AH15" s="5" t="s">
        <v>458</v>
      </c>
      <c r="AI15" s="5" t="s">
        <v>458</v>
      </c>
      <c r="AJ15" s="5" t="s">
        <v>458</v>
      </c>
      <c r="AK15" s="5" t="s">
        <v>458</v>
      </c>
      <c r="AL15" s="5" t="s">
        <v>458</v>
      </c>
      <c r="AM15" s="5" t="s">
        <v>458</v>
      </c>
      <c r="AN15" s="5" t="s">
        <v>458</v>
      </c>
      <c r="AO15" s="5" t="s">
        <v>458</v>
      </c>
      <c r="AP15" s="5" t="s">
        <v>458</v>
      </c>
      <c r="AQ15" s="5" t="s">
        <v>458</v>
      </c>
      <c r="AR15" s="5" t="s">
        <v>458</v>
      </c>
      <c r="AS15" s="5" t="s">
        <v>458</v>
      </c>
      <c r="AT15" s="5" t="s">
        <v>458</v>
      </c>
      <c r="AU15" s="5" t="s">
        <v>458</v>
      </c>
      <c r="AV15" s="5" t="s">
        <v>458</v>
      </c>
      <c r="AW15" s="5" t="s">
        <v>458</v>
      </c>
      <c r="AX15" s="5" t="s">
        <v>458</v>
      </c>
      <c r="AY15" s="5" t="s">
        <v>458</v>
      </c>
      <c r="AZ15" s="5" t="s">
        <v>458</v>
      </c>
      <c r="BA15" s="5" t="s">
        <v>458</v>
      </c>
      <c r="BB15" s="5" t="s">
        <v>458</v>
      </c>
      <c r="BC15" s="5" t="s">
        <v>458</v>
      </c>
      <c r="BD15" s="5" t="s">
        <v>458</v>
      </c>
    </row>
    <row r="16" spans="1:57" x14ac:dyDescent="0.2">
      <c r="A16" s="52">
        <v>5</v>
      </c>
      <c r="B16" s="41">
        <v>13</v>
      </c>
      <c r="C16" s="41" t="s">
        <v>42</v>
      </c>
      <c r="D16" s="5">
        <v>7</v>
      </c>
      <c r="E16" s="5">
        <v>14</v>
      </c>
      <c r="F16" s="5">
        <v>21</v>
      </c>
      <c r="G16" s="5">
        <v>28</v>
      </c>
      <c r="H16" s="5" t="s">
        <v>458</v>
      </c>
      <c r="I16" s="5" t="s">
        <v>458</v>
      </c>
      <c r="J16" s="5" t="s">
        <v>458</v>
      </c>
      <c r="K16" s="5" t="s">
        <v>458</v>
      </c>
      <c r="L16" s="5" t="s">
        <v>458</v>
      </c>
      <c r="M16" s="5" t="s">
        <v>458</v>
      </c>
      <c r="N16" s="5" t="s">
        <v>458</v>
      </c>
      <c r="O16" s="5" t="s">
        <v>458</v>
      </c>
      <c r="P16" s="5" t="s">
        <v>458</v>
      </c>
      <c r="Q16" s="5" t="s">
        <v>458</v>
      </c>
      <c r="R16" s="5" t="s">
        <v>458</v>
      </c>
      <c r="S16" s="5" t="s">
        <v>458</v>
      </c>
      <c r="T16" s="5" t="s">
        <v>458</v>
      </c>
      <c r="U16" s="5" t="s">
        <v>458</v>
      </c>
      <c r="V16" s="5" t="s">
        <v>458</v>
      </c>
      <c r="W16" s="5" t="s">
        <v>458</v>
      </c>
      <c r="X16" s="5" t="s">
        <v>458</v>
      </c>
      <c r="Y16" s="5" t="s">
        <v>458</v>
      </c>
      <c r="Z16" s="5" t="s">
        <v>458</v>
      </c>
      <c r="AA16" s="5" t="s">
        <v>458</v>
      </c>
      <c r="AB16" s="5" t="s">
        <v>458</v>
      </c>
      <c r="AC16" s="5" t="s">
        <v>458</v>
      </c>
      <c r="AD16" s="5" t="s">
        <v>458</v>
      </c>
      <c r="AE16" s="5" t="s">
        <v>458</v>
      </c>
      <c r="AF16" s="5" t="s">
        <v>458</v>
      </c>
      <c r="AG16" s="5" t="s">
        <v>458</v>
      </c>
      <c r="AH16" s="5" t="s">
        <v>458</v>
      </c>
      <c r="AI16" s="5" t="s">
        <v>458</v>
      </c>
      <c r="AJ16" s="5" t="s">
        <v>458</v>
      </c>
      <c r="AK16" s="5" t="s">
        <v>458</v>
      </c>
      <c r="AL16" s="5" t="s">
        <v>458</v>
      </c>
      <c r="AM16" s="5" t="s">
        <v>458</v>
      </c>
      <c r="AN16" s="5" t="s">
        <v>458</v>
      </c>
      <c r="AO16" s="5" t="s">
        <v>458</v>
      </c>
      <c r="AP16" s="5" t="s">
        <v>458</v>
      </c>
      <c r="AQ16" s="5" t="s">
        <v>458</v>
      </c>
      <c r="AR16" s="5" t="s">
        <v>458</v>
      </c>
      <c r="AS16" s="5" t="s">
        <v>458</v>
      </c>
      <c r="AT16" s="5" t="s">
        <v>458</v>
      </c>
      <c r="AU16" s="5" t="s">
        <v>458</v>
      </c>
      <c r="AV16" s="5" t="s">
        <v>458</v>
      </c>
      <c r="AW16" s="5" t="s">
        <v>458</v>
      </c>
      <c r="AX16" s="5" t="s">
        <v>458</v>
      </c>
      <c r="AY16" s="5" t="s">
        <v>458</v>
      </c>
      <c r="AZ16" s="5" t="s">
        <v>458</v>
      </c>
      <c r="BA16" s="5" t="s">
        <v>458</v>
      </c>
      <c r="BB16" s="5" t="s">
        <v>458</v>
      </c>
      <c r="BC16" s="5" t="s">
        <v>458</v>
      </c>
      <c r="BD16" s="5" t="s">
        <v>458</v>
      </c>
    </row>
    <row r="17" spans="1:56" x14ac:dyDescent="0.2">
      <c r="A17" s="52">
        <v>5</v>
      </c>
      <c r="B17" s="41">
        <v>14</v>
      </c>
      <c r="C17" s="41" t="s">
        <v>42</v>
      </c>
      <c r="D17" s="5">
        <v>7</v>
      </c>
      <c r="E17" s="5">
        <v>14</v>
      </c>
      <c r="F17" s="5">
        <v>21</v>
      </c>
      <c r="G17" s="5">
        <v>28</v>
      </c>
      <c r="H17" s="5" t="s">
        <v>458</v>
      </c>
      <c r="I17" s="5" t="s">
        <v>458</v>
      </c>
      <c r="J17" s="5" t="s">
        <v>458</v>
      </c>
      <c r="K17" s="5" t="s">
        <v>458</v>
      </c>
      <c r="L17" s="5" t="s">
        <v>458</v>
      </c>
      <c r="M17" s="5" t="s">
        <v>458</v>
      </c>
      <c r="N17" s="5" t="s">
        <v>458</v>
      </c>
      <c r="O17" s="5" t="s">
        <v>458</v>
      </c>
      <c r="P17" s="5" t="s">
        <v>458</v>
      </c>
      <c r="Q17" s="5" t="s">
        <v>458</v>
      </c>
      <c r="R17" s="5" t="s">
        <v>458</v>
      </c>
      <c r="S17" s="5" t="s">
        <v>458</v>
      </c>
      <c r="T17" s="5" t="s">
        <v>458</v>
      </c>
      <c r="U17" s="5" t="s">
        <v>458</v>
      </c>
      <c r="V17" s="5" t="s">
        <v>458</v>
      </c>
      <c r="W17" s="5" t="s">
        <v>458</v>
      </c>
      <c r="X17" s="5" t="s">
        <v>458</v>
      </c>
      <c r="Y17" s="5" t="s">
        <v>458</v>
      </c>
      <c r="Z17" s="5" t="s">
        <v>458</v>
      </c>
      <c r="AA17" s="5" t="s">
        <v>458</v>
      </c>
      <c r="AB17" s="5" t="s">
        <v>458</v>
      </c>
      <c r="AC17" s="5" t="s">
        <v>458</v>
      </c>
      <c r="AD17" s="5" t="s">
        <v>458</v>
      </c>
      <c r="AE17" s="5" t="s">
        <v>458</v>
      </c>
      <c r="AF17" s="5" t="s">
        <v>458</v>
      </c>
      <c r="AG17" s="5" t="s">
        <v>458</v>
      </c>
      <c r="AH17" s="5" t="s">
        <v>458</v>
      </c>
      <c r="AI17" s="5" t="s">
        <v>458</v>
      </c>
      <c r="AJ17" s="5" t="s">
        <v>458</v>
      </c>
      <c r="AK17" s="5" t="s">
        <v>458</v>
      </c>
      <c r="AL17" s="5" t="s">
        <v>458</v>
      </c>
      <c r="AM17" s="5" t="s">
        <v>458</v>
      </c>
      <c r="AN17" s="5" t="s">
        <v>458</v>
      </c>
      <c r="AO17" s="5" t="s">
        <v>458</v>
      </c>
      <c r="AP17" s="5" t="s">
        <v>458</v>
      </c>
      <c r="AQ17" s="5" t="s">
        <v>458</v>
      </c>
      <c r="AR17" s="5" t="s">
        <v>458</v>
      </c>
      <c r="AS17" s="5" t="s">
        <v>458</v>
      </c>
      <c r="AT17" s="5" t="s">
        <v>458</v>
      </c>
      <c r="AU17" s="5" t="s">
        <v>458</v>
      </c>
      <c r="AV17" s="5" t="s">
        <v>458</v>
      </c>
      <c r="AW17" s="5" t="s">
        <v>458</v>
      </c>
      <c r="AX17" s="5" t="s">
        <v>458</v>
      </c>
      <c r="AY17" s="5" t="s">
        <v>458</v>
      </c>
      <c r="AZ17" s="5" t="s">
        <v>458</v>
      </c>
      <c r="BA17" s="5" t="s">
        <v>458</v>
      </c>
      <c r="BB17" s="5" t="s">
        <v>458</v>
      </c>
      <c r="BC17" s="5" t="s">
        <v>458</v>
      </c>
      <c r="BD17" s="5" t="s">
        <v>458</v>
      </c>
    </row>
    <row r="18" spans="1:56" x14ac:dyDescent="0.2">
      <c r="A18" s="52">
        <v>5</v>
      </c>
      <c r="B18" s="41">
        <v>15</v>
      </c>
      <c r="C18" s="41" t="s">
        <v>42</v>
      </c>
      <c r="D18" s="5">
        <v>7</v>
      </c>
      <c r="E18" s="5">
        <v>14</v>
      </c>
      <c r="F18" s="5">
        <v>21</v>
      </c>
      <c r="G18" s="5">
        <v>28</v>
      </c>
      <c r="H18" s="5" t="s">
        <v>458</v>
      </c>
      <c r="I18" s="5" t="s">
        <v>458</v>
      </c>
      <c r="J18" s="5" t="s">
        <v>458</v>
      </c>
      <c r="K18" s="5" t="s">
        <v>458</v>
      </c>
      <c r="L18" s="5" t="s">
        <v>458</v>
      </c>
      <c r="M18" s="5" t="s">
        <v>458</v>
      </c>
      <c r="N18" s="5" t="s">
        <v>458</v>
      </c>
      <c r="O18" s="5" t="s">
        <v>458</v>
      </c>
      <c r="P18" s="5" t="s">
        <v>458</v>
      </c>
      <c r="Q18" s="5" t="s">
        <v>458</v>
      </c>
      <c r="R18" s="5" t="s">
        <v>458</v>
      </c>
      <c r="S18" s="5" t="s">
        <v>458</v>
      </c>
      <c r="T18" s="5" t="s">
        <v>458</v>
      </c>
      <c r="U18" s="5" t="s">
        <v>458</v>
      </c>
      <c r="V18" s="5" t="s">
        <v>458</v>
      </c>
      <c r="W18" s="5" t="s">
        <v>458</v>
      </c>
      <c r="X18" s="5" t="s">
        <v>458</v>
      </c>
      <c r="Y18" s="5" t="s">
        <v>458</v>
      </c>
      <c r="Z18" s="5" t="s">
        <v>458</v>
      </c>
      <c r="AA18" s="5" t="s">
        <v>458</v>
      </c>
      <c r="AB18" s="5" t="s">
        <v>458</v>
      </c>
      <c r="AC18" s="5" t="s">
        <v>458</v>
      </c>
      <c r="AD18" s="5" t="s">
        <v>458</v>
      </c>
      <c r="AE18" s="5" t="s">
        <v>458</v>
      </c>
      <c r="AF18" s="5" t="s">
        <v>458</v>
      </c>
      <c r="AG18" s="5" t="s">
        <v>458</v>
      </c>
      <c r="AH18" s="5" t="s">
        <v>458</v>
      </c>
      <c r="AI18" s="5" t="s">
        <v>458</v>
      </c>
      <c r="AJ18" s="5" t="s">
        <v>458</v>
      </c>
      <c r="AK18" s="5" t="s">
        <v>458</v>
      </c>
      <c r="AL18" s="5" t="s">
        <v>458</v>
      </c>
      <c r="AM18" s="5" t="s">
        <v>458</v>
      </c>
      <c r="AN18" s="5" t="s">
        <v>458</v>
      </c>
      <c r="AO18" s="5" t="s">
        <v>458</v>
      </c>
      <c r="AP18" s="5" t="s">
        <v>458</v>
      </c>
      <c r="AQ18" s="5" t="s">
        <v>458</v>
      </c>
      <c r="AR18" s="5" t="s">
        <v>458</v>
      </c>
      <c r="AS18" s="5" t="s">
        <v>458</v>
      </c>
      <c r="AT18" s="5" t="s">
        <v>458</v>
      </c>
      <c r="AU18" s="5" t="s">
        <v>458</v>
      </c>
      <c r="AV18" s="5" t="s">
        <v>458</v>
      </c>
      <c r="AW18" s="5" t="s">
        <v>458</v>
      </c>
      <c r="AX18" s="5" t="s">
        <v>458</v>
      </c>
      <c r="AY18" s="5" t="s">
        <v>458</v>
      </c>
      <c r="AZ18" s="5" t="s">
        <v>458</v>
      </c>
      <c r="BA18" s="5" t="s">
        <v>458</v>
      </c>
      <c r="BB18" s="5" t="s">
        <v>458</v>
      </c>
      <c r="BC18" s="5" t="s">
        <v>458</v>
      </c>
      <c r="BD18" s="5" t="s">
        <v>458</v>
      </c>
    </row>
    <row r="19" spans="1:56" x14ac:dyDescent="0.2">
      <c r="A19" s="52">
        <v>5</v>
      </c>
      <c r="B19" s="41">
        <v>16</v>
      </c>
      <c r="C19" s="41" t="s">
        <v>42</v>
      </c>
      <c r="D19" s="5">
        <v>7</v>
      </c>
      <c r="E19" s="5">
        <v>14</v>
      </c>
      <c r="F19" s="5">
        <v>21</v>
      </c>
      <c r="G19" s="5">
        <v>28</v>
      </c>
      <c r="H19" s="5" t="s">
        <v>458</v>
      </c>
      <c r="I19" s="5" t="s">
        <v>458</v>
      </c>
      <c r="J19" s="5" t="s">
        <v>458</v>
      </c>
      <c r="K19" s="5" t="s">
        <v>458</v>
      </c>
      <c r="L19" s="5" t="s">
        <v>458</v>
      </c>
      <c r="M19" s="5" t="s">
        <v>458</v>
      </c>
      <c r="N19" s="5" t="s">
        <v>458</v>
      </c>
      <c r="O19" s="5" t="s">
        <v>458</v>
      </c>
      <c r="P19" s="5" t="s">
        <v>458</v>
      </c>
      <c r="Q19" s="5" t="s">
        <v>458</v>
      </c>
      <c r="R19" s="5" t="s">
        <v>458</v>
      </c>
      <c r="S19" s="5" t="s">
        <v>458</v>
      </c>
      <c r="T19" s="5" t="s">
        <v>458</v>
      </c>
      <c r="U19" s="5" t="s">
        <v>458</v>
      </c>
      <c r="V19" s="5" t="s">
        <v>458</v>
      </c>
      <c r="W19" s="5" t="s">
        <v>458</v>
      </c>
      <c r="X19" s="5" t="s">
        <v>458</v>
      </c>
      <c r="Y19" s="5" t="s">
        <v>458</v>
      </c>
      <c r="Z19" s="5" t="s">
        <v>458</v>
      </c>
      <c r="AA19" s="5" t="s">
        <v>458</v>
      </c>
      <c r="AB19" s="5" t="s">
        <v>458</v>
      </c>
      <c r="AC19" s="5" t="s">
        <v>458</v>
      </c>
      <c r="AD19" s="5" t="s">
        <v>458</v>
      </c>
      <c r="AE19" s="5" t="s">
        <v>458</v>
      </c>
      <c r="AF19" s="5" t="s">
        <v>458</v>
      </c>
      <c r="AG19" s="5" t="s">
        <v>458</v>
      </c>
      <c r="AH19" s="5" t="s">
        <v>458</v>
      </c>
      <c r="AI19" s="5" t="s">
        <v>458</v>
      </c>
      <c r="AJ19" s="5" t="s">
        <v>458</v>
      </c>
      <c r="AK19" s="5" t="s">
        <v>458</v>
      </c>
      <c r="AL19" s="5" t="s">
        <v>458</v>
      </c>
      <c r="AM19" s="5" t="s">
        <v>458</v>
      </c>
      <c r="AN19" s="5" t="s">
        <v>458</v>
      </c>
      <c r="AO19" s="5" t="s">
        <v>458</v>
      </c>
      <c r="AP19" s="5" t="s">
        <v>458</v>
      </c>
      <c r="AQ19" s="5" t="s">
        <v>458</v>
      </c>
      <c r="AR19" s="5" t="s">
        <v>458</v>
      </c>
      <c r="AS19" s="5" t="s">
        <v>458</v>
      </c>
      <c r="AT19" s="5" t="s">
        <v>458</v>
      </c>
      <c r="AU19" s="5" t="s">
        <v>458</v>
      </c>
      <c r="AV19" s="5" t="s">
        <v>458</v>
      </c>
      <c r="AW19" s="5" t="s">
        <v>458</v>
      </c>
      <c r="AX19" s="5" t="s">
        <v>458</v>
      </c>
      <c r="AY19" s="5" t="s">
        <v>458</v>
      </c>
      <c r="AZ19" s="5" t="s">
        <v>458</v>
      </c>
      <c r="BA19" s="5" t="s">
        <v>458</v>
      </c>
      <c r="BB19" s="5" t="s">
        <v>458</v>
      </c>
      <c r="BC19" s="5" t="s">
        <v>458</v>
      </c>
      <c r="BD19" s="5" t="s">
        <v>458</v>
      </c>
    </row>
    <row r="20" spans="1:56" x14ac:dyDescent="0.2">
      <c r="A20" s="52">
        <v>5</v>
      </c>
      <c r="B20" s="41">
        <v>17</v>
      </c>
      <c r="C20" s="41" t="s">
        <v>161</v>
      </c>
      <c r="D20" s="5">
        <v>7</v>
      </c>
      <c r="E20" s="5">
        <v>14</v>
      </c>
      <c r="F20" s="5">
        <v>21</v>
      </c>
      <c r="G20" s="5">
        <v>28</v>
      </c>
      <c r="H20" s="5" t="s">
        <v>458</v>
      </c>
      <c r="I20" s="5" t="s">
        <v>458</v>
      </c>
      <c r="J20" s="5" t="s">
        <v>458</v>
      </c>
      <c r="K20" s="5" t="s">
        <v>458</v>
      </c>
      <c r="L20" s="5" t="s">
        <v>458</v>
      </c>
      <c r="M20" s="5" t="s">
        <v>458</v>
      </c>
      <c r="N20" s="5" t="s">
        <v>458</v>
      </c>
      <c r="O20" s="5" t="s">
        <v>458</v>
      </c>
      <c r="P20" s="5" t="s">
        <v>458</v>
      </c>
      <c r="Q20" s="5" t="s">
        <v>458</v>
      </c>
      <c r="R20" s="5" t="s">
        <v>458</v>
      </c>
      <c r="S20" s="5" t="s">
        <v>458</v>
      </c>
      <c r="T20" s="5" t="s">
        <v>458</v>
      </c>
      <c r="U20" s="5" t="s">
        <v>458</v>
      </c>
      <c r="V20" s="5" t="s">
        <v>458</v>
      </c>
      <c r="W20" s="5" t="s">
        <v>458</v>
      </c>
      <c r="X20" s="5" t="s">
        <v>458</v>
      </c>
      <c r="Y20" s="5" t="s">
        <v>458</v>
      </c>
      <c r="Z20" s="5" t="s">
        <v>458</v>
      </c>
      <c r="AA20" s="5" t="s">
        <v>458</v>
      </c>
      <c r="AB20" s="5" t="s">
        <v>458</v>
      </c>
      <c r="AC20" s="5" t="s">
        <v>458</v>
      </c>
      <c r="AD20" s="5" t="s">
        <v>458</v>
      </c>
      <c r="AE20" s="5" t="s">
        <v>458</v>
      </c>
      <c r="AF20" s="5" t="s">
        <v>458</v>
      </c>
      <c r="AG20" s="5" t="s">
        <v>458</v>
      </c>
      <c r="AH20" s="5" t="s">
        <v>458</v>
      </c>
      <c r="AI20" s="5" t="s">
        <v>458</v>
      </c>
      <c r="AJ20" s="5" t="s">
        <v>458</v>
      </c>
      <c r="AK20" s="5" t="s">
        <v>458</v>
      </c>
      <c r="AL20" s="5" t="s">
        <v>458</v>
      </c>
      <c r="AM20" s="5" t="s">
        <v>458</v>
      </c>
      <c r="AN20" s="5" t="s">
        <v>458</v>
      </c>
      <c r="AO20" s="5" t="s">
        <v>458</v>
      </c>
      <c r="AP20" s="5" t="s">
        <v>458</v>
      </c>
      <c r="AQ20" s="5" t="s">
        <v>458</v>
      </c>
      <c r="AR20" s="5" t="s">
        <v>458</v>
      </c>
      <c r="AS20" s="5" t="s">
        <v>458</v>
      </c>
      <c r="AT20" s="5" t="s">
        <v>458</v>
      </c>
      <c r="AU20" s="5" t="s">
        <v>458</v>
      </c>
      <c r="AV20" s="5" t="s">
        <v>458</v>
      </c>
      <c r="AW20" s="5" t="s">
        <v>458</v>
      </c>
      <c r="AX20" s="5" t="s">
        <v>458</v>
      </c>
      <c r="AY20" s="5" t="s">
        <v>458</v>
      </c>
      <c r="AZ20" s="5" t="s">
        <v>458</v>
      </c>
      <c r="BA20" s="5" t="s">
        <v>458</v>
      </c>
      <c r="BB20" s="5" t="s">
        <v>458</v>
      </c>
      <c r="BC20" s="5" t="s">
        <v>458</v>
      </c>
      <c r="BD20" s="5" t="s">
        <v>458</v>
      </c>
    </row>
    <row r="21" spans="1:56" x14ac:dyDescent="0.2">
      <c r="A21" s="52">
        <v>5</v>
      </c>
      <c r="B21" s="41">
        <v>18</v>
      </c>
      <c r="C21" s="41" t="s">
        <v>43</v>
      </c>
      <c r="D21" s="5">
        <v>7</v>
      </c>
      <c r="E21" s="5">
        <v>14</v>
      </c>
      <c r="F21" s="5">
        <v>21</v>
      </c>
      <c r="G21" s="5">
        <v>28</v>
      </c>
      <c r="H21" s="5" t="s">
        <v>458</v>
      </c>
      <c r="I21" s="5" t="s">
        <v>458</v>
      </c>
      <c r="J21" s="5" t="s">
        <v>458</v>
      </c>
      <c r="K21" s="5" t="s">
        <v>458</v>
      </c>
      <c r="L21" s="5" t="s">
        <v>458</v>
      </c>
      <c r="M21" s="5" t="s">
        <v>458</v>
      </c>
      <c r="N21" s="5" t="s">
        <v>458</v>
      </c>
      <c r="O21" s="5" t="s">
        <v>458</v>
      </c>
      <c r="P21" s="5" t="s">
        <v>458</v>
      </c>
      <c r="Q21" s="5" t="s">
        <v>458</v>
      </c>
      <c r="R21" s="5" t="s">
        <v>458</v>
      </c>
      <c r="S21" s="5" t="s">
        <v>458</v>
      </c>
      <c r="T21" s="5" t="s">
        <v>458</v>
      </c>
      <c r="U21" s="5" t="s">
        <v>458</v>
      </c>
      <c r="V21" s="5" t="s">
        <v>458</v>
      </c>
      <c r="W21" s="5" t="s">
        <v>458</v>
      </c>
      <c r="X21" s="5" t="s">
        <v>458</v>
      </c>
      <c r="Y21" s="5" t="s">
        <v>458</v>
      </c>
      <c r="Z21" s="5" t="s">
        <v>458</v>
      </c>
      <c r="AA21" s="5" t="s">
        <v>458</v>
      </c>
      <c r="AB21" s="5" t="s">
        <v>458</v>
      </c>
      <c r="AC21" s="5" t="s">
        <v>458</v>
      </c>
      <c r="AD21" s="5" t="s">
        <v>458</v>
      </c>
      <c r="AE21" s="5" t="s">
        <v>458</v>
      </c>
      <c r="AF21" s="5" t="s">
        <v>458</v>
      </c>
      <c r="AG21" s="5" t="s">
        <v>458</v>
      </c>
      <c r="AH21" s="5" t="s">
        <v>458</v>
      </c>
      <c r="AI21" s="5" t="s">
        <v>458</v>
      </c>
      <c r="AJ21" s="5" t="s">
        <v>458</v>
      </c>
      <c r="AK21" s="5" t="s">
        <v>458</v>
      </c>
      <c r="AL21" s="5" t="s">
        <v>458</v>
      </c>
      <c r="AM21" s="5" t="s">
        <v>458</v>
      </c>
      <c r="AN21" s="5" t="s">
        <v>458</v>
      </c>
      <c r="AO21" s="5" t="s">
        <v>458</v>
      </c>
      <c r="AP21" s="5" t="s">
        <v>458</v>
      </c>
      <c r="AQ21" s="5" t="s">
        <v>458</v>
      </c>
      <c r="AR21" s="5" t="s">
        <v>458</v>
      </c>
      <c r="AS21" s="5" t="s">
        <v>458</v>
      </c>
      <c r="AT21" s="5" t="s">
        <v>458</v>
      </c>
      <c r="AU21" s="5" t="s">
        <v>458</v>
      </c>
      <c r="AV21" s="5" t="s">
        <v>458</v>
      </c>
      <c r="AW21" s="5" t="s">
        <v>458</v>
      </c>
      <c r="AX21" s="5" t="s">
        <v>458</v>
      </c>
      <c r="AY21" s="5" t="s">
        <v>458</v>
      </c>
      <c r="AZ21" s="5" t="s">
        <v>458</v>
      </c>
      <c r="BA21" s="5" t="s">
        <v>458</v>
      </c>
      <c r="BB21" s="5" t="s">
        <v>458</v>
      </c>
      <c r="BC21" s="5" t="s">
        <v>458</v>
      </c>
      <c r="BD21" s="5" t="s">
        <v>458</v>
      </c>
    </row>
    <row r="22" spans="1:56" x14ac:dyDescent="0.2">
      <c r="A22" s="52">
        <v>5</v>
      </c>
      <c r="B22" s="41">
        <v>19</v>
      </c>
      <c r="C22" s="41" t="s">
        <v>43</v>
      </c>
      <c r="D22" s="5">
        <v>7</v>
      </c>
      <c r="E22" s="5">
        <v>14</v>
      </c>
      <c r="F22" s="5">
        <v>21</v>
      </c>
      <c r="G22" s="5">
        <v>28</v>
      </c>
      <c r="H22" s="5" t="s">
        <v>458</v>
      </c>
      <c r="I22" s="5" t="s">
        <v>458</v>
      </c>
      <c r="J22" s="5" t="s">
        <v>458</v>
      </c>
      <c r="K22" s="5" t="s">
        <v>458</v>
      </c>
      <c r="L22" s="5" t="s">
        <v>458</v>
      </c>
      <c r="M22" s="5" t="s">
        <v>458</v>
      </c>
      <c r="N22" s="5" t="s">
        <v>458</v>
      </c>
      <c r="O22" s="5" t="s">
        <v>458</v>
      </c>
      <c r="P22" s="5" t="s">
        <v>458</v>
      </c>
      <c r="Q22" s="5" t="s">
        <v>458</v>
      </c>
      <c r="R22" s="5" t="s">
        <v>458</v>
      </c>
      <c r="S22" s="5" t="s">
        <v>458</v>
      </c>
      <c r="T22" s="5" t="s">
        <v>458</v>
      </c>
      <c r="U22" s="5" t="s">
        <v>458</v>
      </c>
      <c r="V22" s="5" t="s">
        <v>458</v>
      </c>
      <c r="W22" s="5" t="s">
        <v>458</v>
      </c>
      <c r="X22" s="5" t="s">
        <v>458</v>
      </c>
      <c r="Y22" s="5" t="s">
        <v>458</v>
      </c>
      <c r="Z22" s="5" t="s">
        <v>458</v>
      </c>
      <c r="AA22" s="5" t="s">
        <v>458</v>
      </c>
      <c r="AB22" s="5" t="s">
        <v>458</v>
      </c>
      <c r="AC22" s="5" t="s">
        <v>458</v>
      </c>
      <c r="AD22" s="5" t="s">
        <v>458</v>
      </c>
      <c r="AE22" s="5" t="s">
        <v>458</v>
      </c>
      <c r="AF22" s="5" t="s">
        <v>458</v>
      </c>
      <c r="AG22" s="5" t="s">
        <v>458</v>
      </c>
      <c r="AH22" s="5" t="s">
        <v>458</v>
      </c>
      <c r="AI22" s="5" t="s">
        <v>458</v>
      </c>
      <c r="AJ22" s="5" t="s">
        <v>458</v>
      </c>
      <c r="AK22" s="5" t="s">
        <v>458</v>
      </c>
      <c r="AL22" s="5" t="s">
        <v>458</v>
      </c>
      <c r="AM22" s="5" t="s">
        <v>458</v>
      </c>
      <c r="AN22" s="5" t="s">
        <v>458</v>
      </c>
      <c r="AO22" s="5" t="s">
        <v>458</v>
      </c>
      <c r="AP22" s="5" t="s">
        <v>458</v>
      </c>
      <c r="AQ22" s="5" t="s">
        <v>458</v>
      </c>
      <c r="AR22" s="5" t="s">
        <v>458</v>
      </c>
      <c r="AS22" s="5" t="s">
        <v>458</v>
      </c>
      <c r="AT22" s="5" t="s">
        <v>458</v>
      </c>
      <c r="AU22" s="5" t="s">
        <v>458</v>
      </c>
      <c r="AV22" s="5" t="s">
        <v>458</v>
      </c>
      <c r="AW22" s="5" t="s">
        <v>458</v>
      </c>
      <c r="AX22" s="5" t="s">
        <v>458</v>
      </c>
      <c r="AY22" s="5" t="s">
        <v>458</v>
      </c>
      <c r="AZ22" s="5" t="s">
        <v>458</v>
      </c>
      <c r="BA22" s="5" t="s">
        <v>458</v>
      </c>
      <c r="BB22" s="5" t="s">
        <v>458</v>
      </c>
      <c r="BC22" s="5" t="s">
        <v>458</v>
      </c>
      <c r="BD22" s="5" t="s">
        <v>458</v>
      </c>
    </row>
    <row r="23" spans="1:56" x14ac:dyDescent="0.2">
      <c r="A23" s="52">
        <v>5</v>
      </c>
      <c r="B23" s="41">
        <v>20</v>
      </c>
      <c r="C23" s="41" t="s">
        <v>43</v>
      </c>
      <c r="D23" s="5">
        <v>7</v>
      </c>
      <c r="E23" s="5">
        <v>14</v>
      </c>
      <c r="F23" s="5">
        <v>21</v>
      </c>
      <c r="G23" s="5">
        <v>28</v>
      </c>
      <c r="H23" s="5" t="s">
        <v>458</v>
      </c>
      <c r="I23" s="5" t="s">
        <v>458</v>
      </c>
      <c r="J23" s="5" t="s">
        <v>458</v>
      </c>
      <c r="K23" s="5" t="s">
        <v>458</v>
      </c>
      <c r="L23" s="5" t="s">
        <v>458</v>
      </c>
      <c r="M23" s="5" t="s">
        <v>458</v>
      </c>
      <c r="N23" s="5" t="s">
        <v>458</v>
      </c>
      <c r="O23" s="5" t="s">
        <v>458</v>
      </c>
      <c r="P23" s="5" t="s">
        <v>458</v>
      </c>
      <c r="Q23" s="5" t="s">
        <v>458</v>
      </c>
      <c r="R23" s="5" t="s">
        <v>458</v>
      </c>
      <c r="S23" s="5" t="s">
        <v>458</v>
      </c>
      <c r="T23" s="5" t="s">
        <v>458</v>
      </c>
      <c r="U23" s="5" t="s">
        <v>458</v>
      </c>
      <c r="V23" s="5" t="s">
        <v>458</v>
      </c>
      <c r="W23" s="5" t="s">
        <v>458</v>
      </c>
      <c r="X23" s="5" t="s">
        <v>458</v>
      </c>
      <c r="Y23" s="5" t="s">
        <v>458</v>
      </c>
      <c r="Z23" s="5" t="s">
        <v>458</v>
      </c>
      <c r="AA23" s="5" t="s">
        <v>458</v>
      </c>
      <c r="AB23" s="5" t="s">
        <v>458</v>
      </c>
      <c r="AC23" s="5" t="s">
        <v>458</v>
      </c>
      <c r="AD23" s="5" t="s">
        <v>458</v>
      </c>
      <c r="AE23" s="5" t="s">
        <v>458</v>
      </c>
      <c r="AF23" s="5" t="s">
        <v>458</v>
      </c>
      <c r="AG23" s="5" t="s">
        <v>458</v>
      </c>
      <c r="AH23" s="5" t="s">
        <v>458</v>
      </c>
      <c r="AI23" s="5" t="s">
        <v>458</v>
      </c>
      <c r="AJ23" s="5" t="s">
        <v>458</v>
      </c>
      <c r="AK23" s="5" t="s">
        <v>458</v>
      </c>
      <c r="AL23" s="5" t="s">
        <v>458</v>
      </c>
      <c r="AM23" s="5" t="s">
        <v>458</v>
      </c>
      <c r="AN23" s="5" t="s">
        <v>458</v>
      </c>
      <c r="AO23" s="5" t="s">
        <v>458</v>
      </c>
      <c r="AP23" s="5" t="s">
        <v>458</v>
      </c>
      <c r="AQ23" s="5" t="s">
        <v>458</v>
      </c>
      <c r="AR23" s="5" t="s">
        <v>458</v>
      </c>
      <c r="AS23" s="5" t="s">
        <v>458</v>
      </c>
      <c r="AT23" s="5" t="s">
        <v>458</v>
      </c>
      <c r="AU23" s="5" t="s">
        <v>458</v>
      </c>
      <c r="AV23" s="5" t="s">
        <v>458</v>
      </c>
      <c r="AW23" s="5" t="s">
        <v>458</v>
      </c>
      <c r="AX23" s="5" t="s">
        <v>458</v>
      </c>
      <c r="AY23" s="5" t="s">
        <v>458</v>
      </c>
      <c r="AZ23" s="5" t="s">
        <v>458</v>
      </c>
      <c r="BA23" s="5" t="s">
        <v>458</v>
      </c>
      <c r="BB23" s="5" t="s">
        <v>458</v>
      </c>
      <c r="BC23" s="5" t="s">
        <v>458</v>
      </c>
      <c r="BD23" s="5" t="s">
        <v>458</v>
      </c>
    </row>
    <row r="24" spans="1:56" x14ac:dyDescent="0.2">
      <c r="A24" s="52">
        <v>5</v>
      </c>
      <c r="B24" s="41">
        <v>21</v>
      </c>
      <c r="C24" s="41" t="s">
        <v>43</v>
      </c>
      <c r="D24" s="5">
        <v>7</v>
      </c>
      <c r="E24" s="5">
        <v>14</v>
      </c>
      <c r="F24" s="5">
        <v>21</v>
      </c>
      <c r="G24" s="5">
        <v>28</v>
      </c>
      <c r="H24" s="5" t="s">
        <v>458</v>
      </c>
      <c r="I24" s="5" t="s">
        <v>458</v>
      </c>
      <c r="J24" s="5" t="s">
        <v>458</v>
      </c>
      <c r="K24" s="5" t="s">
        <v>458</v>
      </c>
      <c r="L24" s="5" t="s">
        <v>458</v>
      </c>
      <c r="M24" s="5" t="s">
        <v>458</v>
      </c>
      <c r="N24" s="5" t="s">
        <v>458</v>
      </c>
      <c r="O24" s="5" t="s">
        <v>458</v>
      </c>
      <c r="P24" s="5" t="s">
        <v>458</v>
      </c>
      <c r="Q24" s="5" t="s">
        <v>458</v>
      </c>
      <c r="R24" s="5" t="s">
        <v>458</v>
      </c>
      <c r="S24" s="5" t="s">
        <v>458</v>
      </c>
      <c r="T24" s="5" t="s">
        <v>458</v>
      </c>
      <c r="U24" s="5" t="s">
        <v>458</v>
      </c>
      <c r="V24" s="5" t="s">
        <v>458</v>
      </c>
      <c r="W24" s="5" t="s">
        <v>458</v>
      </c>
      <c r="X24" s="5" t="s">
        <v>458</v>
      </c>
      <c r="Y24" s="5" t="s">
        <v>458</v>
      </c>
      <c r="Z24" s="5" t="s">
        <v>458</v>
      </c>
      <c r="AA24" s="5" t="s">
        <v>458</v>
      </c>
      <c r="AB24" s="5" t="s">
        <v>458</v>
      </c>
      <c r="AC24" s="5" t="s">
        <v>458</v>
      </c>
      <c r="AD24" s="5" t="s">
        <v>458</v>
      </c>
      <c r="AE24" s="5" t="s">
        <v>458</v>
      </c>
      <c r="AF24" s="5" t="s">
        <v>458</v>
      </c>
      <c r="AG24" s="5" t="s">
        <v>458</v>
      </c>
      <c r="AH24" s="5" t="s">
        <v>458</v>
      </c>
      <c r="AI24" s="5" t="s">
        <v>458</v>
      </c>
      <c r="AJ24" s="5" t="s">
        <v>458</v>
      </c>
      <c r="AK24" s="5" t="s">
        <v>458</v>
      </c>
      <c r="AL24" s="5" t="s">
        <v>458</v>
      </c>
      <c r="AM24" s="5" t="s">
        <v>458</v>
      </c>
      <c r="AN24" s="5" t="s">
        <v>458</v>
      </c>
      <c r="AO24" s="5" t="s">
        <v>458</v>
      </c>
      <c r="AP24" s="5" t="s">
        <v>458</v>
      </c>
      <c r="AQ24" s="5" t="s">
        <v>458</v>
      </c>
      <c r="AR24" s="5" t="s">
        <v>458</v>
      </c>
      <c r="AS24" s="5" t="s">
        <v>458</v>
      </c>
      <c r="AT24" s="5" t="s">
        <v>458</v>
      </c>
      <c r="AU24" s="5" t="s">
        <v>458</v>
      </c>
      <c r="AV24" s="5" t="s">
        <v>458</v>
      </c>
      <c r="AW24" s="5" t="s">
        <v>458</v>
      </c>
      <c r="AX24" s="5" t="s">
        <v>458</v>
      </c>
      <c r="AY24" s="5" t="s">
        <v>458</v>
      </c>
      <c r="AZ24" s="5" t="s">
        <v>458</v>
      </c>
      <c r="BA24" s="5" t="s">
        <v>458</v>
      </c>
      <c r="BB24" s="5" t="s">
        <v>458</v>
      </c>
      <c r="BC24" s="5" t="s">
        <v>458</v>
      </c>
      <c r="BD24" s="5" t="s">
        <v>458</v>
      </c>
    </row>
    <row r="25" spans="1:56" x14ac:dyDescent="0.2">
      <c r="A25" s="52">
        <v>5</v>
      </c>
      <c r="B25" s="41">
        <v>22</v>
      </c>
      <c r="C25" s="41" t="s">
        <v>43</v>
      </c>
      <c r="D25" s="5">
        <v>7</v>
      </c>
      <c r="E25" s="5">
        <v>14</v>
      </c>
      <c r="F25" s="5">
        <v>21</v>
      </c>
      <c r="G25" s="5">
        <v>28</v>
      </c>
      <c r="H25" s="5" t="s">
        <v>458</v>
      </c>
      <c r="I25" s="5" t="s">
        <v>458</v>
      </c>
      <c r="J25" s="5" t="s">
        <v>458</v>
      </c>
      <c r="K25" s="5" t="s">
        <v>458</v>
      </c>
      <c r="L25" s="5" t="s">
        <v>458</v>
      </c>
      <c r="M25" s="5" t="s">
        <v>458</v>
      </c>
      <c r="N25" s="5" t="s">
        <v>458</v>
      </c>
      <c r="O25" s="5" t="s">
        <v>458</v>
      </c>
      <c r="P25" s="5" t="s">
        <v>458</v>
      </c>
      <c r="Q25" s="5" t="s">
        <v>458</v>
      </c>
      <c r="R25" s="5" t="s">
        <v>458</v>
      </c>
      <c r="S25" s="5" t="s">
        <v>458</v>
      </c>
      <c r="T25" s="5" t="s">
        <v>458</v>
      </c>
      <c r="U25" s="5" t="s">
        <v>458</v>
      </c>
      <c r="V25" s="5" t="s">
        <v>458</v>
      </c>
      <c r="W25" s="5" t="s">
        <v>458</v>
      </c>
      <c r="X25" s="5" t="s">
        <v>458</v>
      </c>
      <c r="Y25" s="5" t="s">
        <v>458</v>
      </c>
      <c r="Z25" s="5" t="s">
        <v>458</v>
      </c>
      <c r="AA25" s="5" t="s">
        <v>458</v>
      </c>
      <c r="AB25" s="5" t="s">
        <v>458</v>
      </c>
      <c r="AC25" s="5" t="s">
        <v>458</v>
      </c>
      <c r="AD25" s="5" t="s">
        <v>458</v>
      </c>
      <c r="AE25" s="5" t="s">
        <v>458</v>
      </c>
      <c r="AF25" s="5" t="s">
        <v>458</v>
      </c>
      <c r="AG25" s="5" t="s">
        <v>458</v>
      </c>
      <c r="AH25" s="5" t="s">
        <v>458</v>
      </c>
      <c r="AI25" s="5" t="s">
        <v>458</v>
      </c>
      <c r="AJ25" s="5" t="s">
        <v>458</v>
      </c>
      <c r="AK25" s="5" t="s">
        <v>458</v>
      </c>
      <c r="AL25" s="5" t="s">
        <v>458</v>
      </c>
      <c r="AM25" s="5" t="s">
        <v>458</v>
      </c>
      <c r="AN25" s="5" t="s">
        <v>458</v>
      </c>
      <c r="AO25" s="5" t="s">
        <v>458</v>
      </c>
      <c r="AP25" s="5" t="s">
        <v>458</v>
      </c>
      <c r="AQ25" s="5" t="s">
        <v>458</v>
      </c>
      <c r="AR25" s="5" t="s">
        <v>458</v>
      </c>
      <c r="AS25" s="5" t="s">
        <v>458</v>
      </c>
      <c r="AT25" s="5" t="s">
        <v>458</v>
      </c>
      <c r="AU25" s="5" t="s">
        <v>458</v>
      </c>
      <c r="AV25" s="5" t="s">
        <v>458</v>
      </c>
      <c r="AW25" s="5" t="s">
        <v>458</v>
      </c>
      <c r="AX25" s="5" t="s">
        <v>458</v>
      </c>
      <c r="AY25" s="5" t="s">
        <v>458</v>
      </c>
      <c r="AZ25" s="5" t="s">
        <v>458</v>
      </c>
      <c r="BA25" s="5" t="s">
        <v>458</v>
      </c>
      <c r="BB25" s="5" t="s">
        <v>458</v>
      </c>
      <c r="BC25" s="5" t="s">
        <v>458</v>
      </c>
      <c r="BD25" s="5" t="s">
        <v>458</v>
      </c>
    </row>
    <row r="26" spans="1:56" x14ac:dyDescent="0.2">
      <c r="A26" s="52">
        <v>5</v>
      </c>
      <c r="B26" s="41">
        <v>23</v>
      </c>
      <c r="C26" s="41" t="s">
        <v>43</v>
      </c>
      <c r="D26" s="5">
        <v>7</v>
      </c>
      <c r="E26" s="5">
        <v>14</v>
      </c>
      <c r="F26" s="5">
        <v>21</v>
      </c>
      <c r="G26" s="5">
        <v>28</v>
      </c>
      <c r="H26" s="5" t="s">
        <v>458</v>
      </c>
      <c r="I26" s="5" t="s">
        <v>458</v>
      </c>
      <c r="J26" s="5" t="s">
        <v>458</v>
      </c>
      <c r="K26" s="5" t="s">
        <v>458</v>
      </c>
      <c r="L26" s="5" t="s">
        <v>458</v>
      </c>
      <c r="M26" s="5" t="s">
        <v>458</v>
      </c>
      <c r="N26" s="5" t="s">
        <v>458</v>
      </c>
      <c r="O26" s="5" t="s">
        <v>458</v>
      </c>
      <c r="P26" s="5" t="s">
        <v>458</v>
      </c>
      <c r="Q26" s="5" t="s">
        <v>458</v>
      </c>
      <c r="R26" s="5" t="s">
        <v>458</v>
      </c>
      <c r="S26" s="5" t="s">
        <v>458</v>
      </c>
      <c r="T26" s="5" t="s">
        <v>458</v>
      </c>
      <c r="U26" s="5" t="s">
        <v>458</v>
      </c>
      <c r="V26" s="5" t="s">
        <v>458</v>
      </c>
      <c r="W26" s="5" t="s">
        <v>458</v>
      </c>
      <c r="X26" s="5" t="s">
        <v>458</v>
      </c>
      <c r="Y26" s="5" t="s">
        <v>458</v>
      </c>
      <c r="Z26" s="5" t="s">
        <v>458</v>
      </c>
      <c r="AA26" s="5" t="s">
        <v>458</v>
      </c>
      <c r="AB26" s="5" t="s">
        <v>458</v>
      </c>
      <c r="AC26" s="5" t="s">
        <v>458</v>
      </c>
      <c r="AD26" s="5" t="s">
        <v>458</v>
      </c>
      <c r="AE26" s="5" t="s">
        <v>458</v>
      </c>
      <c r="AF26" s="5" t="s">
        <v>458</v>
      </c>
      <c r="AG26" s="5" t="s">
        <v>458</v>
      </c>
      <c r="AH26" s="5" t="s">
        <v>458</v>
      </c>
      <c r="AI26" s="5" t="s">
        <v>458</v>
      </c>
      <c r="AJ26" s="5" t="s">
        <v>458</v>
      </c>
      <c r="AK26" s="5" t="s">
        <v>458</v>
      </c>
      <c r="AL26" s="5" t="s">
        <v>458</v>
      </c>
      <c r="AM26" s="5" t="s">
        <v>458</v>
      </c>
      <c r="AN26" s="5" t="s">
        <v>458</v>
      </c>
      <c r="AO26" s="5" t="s">
        <v>458</v>
      </c>
      <c r="AP26" s="5" t="s">
        <v>458</v>
      </c>
      <c r="AQ26" s="5" t="s">
        <v>458</v>
      </c>
      <c r="AR26" s="5" t="s">
        <v>458</v>
      </c>
      <c r="AS26" s="5" t="s">
        <v>458</v>
      </c>
      <c r="AT26" s="5" t="s">
        <v>458</v>
      </c>
      <c r="AU26" s="5" t="s">
        <v>458</v>
      </c>
      <c r="AV26" s="5" t="s">
        <v>458</v>
      </c>
      <c r="AW26" s="5" t="s">
        <v>458</v>
      </c>
      <c r="AX26" s="5" t="s">
        <v>458</v>
      </c>
      <c r="AY26" s="5" t="s">
        <v>458</v>
      </c>
      <c r="AZ26" s="5" t="s">
        <v>458</v>
      </c>
      <c r="BA26" s="5" t="s">
        <v>458</v>
      </c>
      <c r="BB26" s="5" t="s">
        <v>458</v>
      </c>
      <c r="BC26" s="5" t="s">
        <v>458</v>
      </c>
      <c r="BD26" s="5" t="s">
        <v>458</v>
      </c>
    </row>
    <row r="27" spans="1:56" x14ac:dyDescent="0.2">
      <c r="A27" s="52">
        <v>5</v>
      </c>
      <c r="B27" s="41">
        <v>24</v>
      </c>
      <c r="C27" s="41" t="s">
        <v>43</v>
      </c>
      <c r="D27" s="5">
        <v>7</v>
      </c>
      <c r="E27" s="5">
        <v>14</v>
      </c>
      <c r="F27" s="5">
        <v>21</v>
      </c>
      <c r="G27" s="5">
        <v>28</v>
      </c>
      <c r="H27" s="5" t="s">
        <v>458</v>
      </c>
      <c r="I27" s="5" t="s">
        <v>458</v>
      </c>
      <c r="J27" s="5" t="s">
        <v>458</v>
      </c>
      <c r="K27" s="5" t="s">
        <v>458</v>
      </c>
      <c r="L27" s="5" t="s">
        <v>458</v>
      </c>
      <c r="M27" s="5" t="s">
        <v>458</v>
      </c>
      <c r="N27" s="5" t="s">
        <v>458</v>
      </c>
      <c r="O27" s="5" t="s">
        <v>458</v>
      </c>
      <c r="P27" s="5" t="s">
        <v>458</v>
      </c>
      <c r="Q27" s="5" t="s">
        <v>458</v>
      </c>
      <c r="R27" s="5" t="s">
        <v>458</v>
      </c>
      <c r="S27" s="5" t="s">
        <v>458</v>
      </c>
      <c r="T27" s="5" t="s">
        <v>458</v>
      </c>
      <c r="U27" s="5" t="s">
        <v>458</v>
      </c>
      <c r="V27" s="5" t="s">
        <v>458</v>
      </c>
      <c r="W27" s="5" t="s">
        <v>458</v>
      </c>
      <c r="X27" s="5" t="s">
        <v>458</v>
      </c>
      <c r="Y27" s="5" t="s">
        <v>458</v>
      </c>
      <c r="Z27" s="5" t="s">
        <v>458</v>
      </c>
      <c r="AA27" s="5" t="s">
        <v>458</v>
      </c>
      <c r="AB27" s="5" t="s">
        <v>458</v>
      </c>
      <c r="AC27" s="5" t="s">
        <v>458</v>
      </c>
      <c r="AD27" s="5" t="s">
        <v>458</v>
      </c>
      <c r="AE27" s="5" t="s">
        <v>458</v>
      </c>
      <c r="AF27" s="5" t="s">
        <v>458</v>
      </c>
      <c r="AG27" s="5" t="s">
        <v>458</v>
      </c>
      <c r="AH27" s="5" t="s">
        <v>458</v>
      </c>
      <c r="AI27" s="5" t="s">
        <v>458</v>
      </c>
      <c r="AJ27" s="5" t="s">
        <v>458</v>
      </c>
      <c r="AK27" s="5" t="s">
        <v>458</v>
      </c>
      <c r="AL27" s="5" t="s">
        <v>458</v>
      </c>
      <c r="AM27" s="5" t="s">
        <v>458</v>
      </c>
      <c r="AN27" s="5" t="s">
        <v>458</v>
      </c>
      <c r="AO27" s="5" t="s">
        <v>458</v>
      </c>
      <c r="AP27" s="5" t="s">
        <v>458</v>
      </c>
      <c r="AQ27" s="5" t="s">
        <v>458</v>
      </c>
      <c r="AR27" s="5" t="s">
        <v>458</v>
      </c>
      <c r="AS27" s="5" t="s">
        <v>458</v>
      </c>
      <c r="AT27" s="5" t="s">
        <v>458</v>
      </c>
      <c r="AU27" s="5" t="s">
        <v>458</v>
      </c>
      <c r="AV27" s="5" t="s">
        <v>458</v>
      </c>
      <c r="AW27" s="5" t="s">
        <v>458</v>
      </c>
      <c r="AX27" s="5" t="s">
        <v>458</v>
      </c>
      <c r="AY27" s="5" t="s">
        <v>458</v>
      </c>
      <c r="AZ27" s="5" t="s">
        <v>458</v>
      </c>
      <c r="BA27" s="5" t="s">
        <v>458</v>
      </c>
      <c r="BB27" s="5" t="s">
        <v>458</v>
      </c>
      <c r="BC27" s="5" t="s">
        <v>458</v>
      </c>
      <c r="BD27" s="5" t="s">
        <v>458</v>
      </c>
    </row>
    <row r="28" spans="1:56" x14ac:dyDescent="0.2">
      <c r="A28" s="52">
        <v>5</v>
      </c>
      <c r="B28" s="41">
        <v>25</v>
      </c>
      <c r="C28" s="41" t="s">
        <v>162</v>
      </c>
      <c r="D28" s="5">
        <v>7</v>
      </c>
      <c r="E28" s="5">
        <v>14</v>
      </c>
      <c r="F28" s="5">
        <v>21</v>
      </c>
      <c r="G28" s="5">
        <v>28</v>
      </c>
      <c r="H28" s="5" t="s">
        <v>458</v>
      </c>
      <c r="I28" s="5" t="s">
        <v>458</v>
      </c>
      <c r="J28" s="5" t="s">
        <v>458</v>
      </c>
      <c r="K28" s="5" t="s">
        <v>458</v>
      </c>
      <c r="L28" s="5" t="s">
        <v>458</v>
      </c>
      <c r="M28" s="5" t="s">
        <v>458</v>
      </c>
      <c r="N28" s="5" t="s">
        <v>458</v>
      </c>
      <c r="O28" s="5" t="s">
        <v>458</v>
      </c>
      <c r="P28" s="5" t="s">
        <v>458</v>
      </c>
      <c r="Q28" s="5" t="s">
        <v>458</v>
      </c>
      <c r="R28" s="5" t="s">
        <v>458</v>
      </c>
      <c r="S28" s="5" t="s">
        <v>458</v>
      </c>
      <c r="T28" s="5" t="s">
        <v>458</v>
      </c>
      <c r="U28" s="5" t="s">
        <v>458</v>
      </c>
      <c r="V28" s="5" t="s">
        <v>458</v>
      </c>
      <c r="W28" s="5" t="s">
        <v>458</v>
      </c>
      <c r="X28" s="5" t="s">
        <v>458</v>
      </c>
      <c r="Y28" s="5" t="s">
        <v>458</v>
      </c>
      <c r="Z28" s="5" t="s">
        <v>458</v>
      </c>
      <c r="AA28" s="5" t="s">
        <v>458</v>
      </c>
      <c r="AB28" s="5" t="s">
        <v>458</v>
      </c>
      <c r="AC28" s="5" t="s">
        <v>458</v>
      </c>
      <c r="AD28" s="5" t="s">
        <v>458</v>
      </c>
      <c r="AE28" s="5" t="s">
        <v>458</v>
      </c>
      <c r="AF28" s="5" t="s">
        <v>458</v>
      </c>
      <c r="AG28" s="5" t="s">
        <v>458</v>
      </c>
      <c r="AH28" s="5" t="s">
        <v>458</v>
      </c>
      <c r="AI28" s="5" t="s">
        <v>458</v>
      </c>
      <c r="AJ28" s="5" t="s">
        <v>458</v>
      </c>
      <c r="AK28" s="5" t="s">
        <v>458</v>
      </c>
      <c r="AL28" s="5" t="s">
        <v>458</v>
      </c>
      <c r="AM28" s="5" t="s">
        <v>458</v>
      </c>
      <c r="AN28" s="5" t="s">
        <v>458</v>
      </c>
      <c r="AO28" s="5" t="s">
        <v>458</v>
      </c>
      <c r="AP28" s="5" t="s">
        <v>458</v>
      </c>
      <c r="AQ28" s="5" t="s">
        <v>458</v>
      </c>
      <c r="AR28" s="5" t="s">
        <v>458</v>
      </c>
      <c r="AS28" s="5" t="s">
        <v>458</v>
      </c>
      <c r="AT28" s="5" t="s">
        <v>458</v>
      </c>
      <c r="AU28" s="5" t="s">
        <v>458</v>
      </c>
      <c r="AV28" s="5" t="s">
        <v>458</v>
      </c>
      <c r="AW28" s="5" t="s">
        <v>458</v>
      </c>
      <c r="AX28" s="5" t="s">
        <v>458</v>
      </c>
      <c r="AY28" s="5" t="s">
        <v>458</v>
      </c>
      <c r="AZ28" s="5" t="s">
        <v>458</v>
      </c>
      <c r="BA28" s="5" t="s">
        <v>458</v>
      </c>
      <c r="BB28" s="5" t="s">
        <v>458</v>
      </c>
      <c r="BC28" s="5" t="s">
        <v>458</v>
      </c>
      <c r="BD28" s="5" t="s">
        <v>458</v>
      </c>
    </row>
    <row r="29" spans="1:56" x14ac:dyDescent="0.2">
      <c r="A29" s="52">
        <v>5</v>
      </c>
      <c r="B29" s="41">
        <v>26</v>
      </c>
      <c r="C29" s="41" t="s">
        <v>44</v>
      </c>
      <c r="D29" s="5">
        <v>7</v>
      </c>
      <c r="E29" s="5">
        <v>14</v>
      </c>
      <c r="F29" s="5">
        <v>21</v>
      </c>
      <c r="G29" s="5">
        <v>28</v>
      </c>
      <c r="H29" s="5" t="s">
        <v>458</v>
      </c>
      <c r="I29" s="5" t="s">
        <v>458</v>
      </c>
      <c r="J29" s="5" t="s">
        <v>458</v>
      </c>
      <c r="K29" s="5" t="s">
        <v>458</v>
      </c>
      <c r="L29" s="5" t="s">
        <v>458</v>
      </c>
      <c r="M29" s="5" t="s">
        <v>458</v>
      </c>
      <c r="N29" s="5" t="s">
        <v>458</v>
      </c>
      <c r="O29" s="5" t="s">
        <v>458</v>
      </c>
      <c r="P29" s="5" t="s">
        <v>458</v>
      </c>
      <c r="Q29" s="5" t="s">
        <v>458</v>
      </c>
      <c r="R29" s="5" t="s">
        <v>458</v>
      </c>
      <c r="S29" s="5" t="s">
        <v>458</v>
      </c>
      <c r="T29" s="5" t="s">
        <v>458</v>
      </c>
      <c r="U29" s="5" t="s">
        <v>458</v>
      </c>
      <c r="V29" s="5" t="s">
        <v>458</v>
      </c>
      <c r="W29" s="5" t="s">
        <v>458</v>
      </c>
      <c r="X29" s="5" t="s">
        <v>458</v>
      </c>
      <c r="Y29" s="5" t="s">
        <v>458</v>
      </c>
      <c r="Z29" s="5" t="s">
        <v>458</v>
      </c>
      <c r="AA29" s="5" t="s">
        <v>458</v>
      </c>
      <c r="AB29" s="5" t="s">
        <v>458</v>
      </c>
      <c r="AC29" s="5" t="s">
        <v>458</v>
      </c>
      <c r="AD29" s="5" t="s">
        <v>458</v>
      </c>
      <c r="AE29" s="5" t="s">
        <v>458</v>
      </c>
      <c r="AF29" s="5" t="s">
        <v>458</v>
      </c>
      <c r="AG29" s="5" t="s">
        <v>458</v>
      </c>
      <c r="AH29" s="5" t="s">
        <v>458</v>
      </c>
      <c r="AI29" s="5" t="s">
        <v>458</v>
      </c>
      <c r="AJ29" s="5" t="s">
        <v>458</v>
      </c>
      <c r="AK29" s="5" t="s">
        <v>458</v>
      </c>
      <c r="AL29" s="5" t="s">
        <v>458</v>
      </c>
      <c r="AM29" s="5" t="s">
        <v>458</v>
      </c>
      <c r="AN29" s="5" t="s">
        <v>458</v>
      </c>
      <c r="AO29" s="5" t="s">
        <v>458</v>
      </c>
      <c r="AP29" s="5" t="s">
        <v>458</v>
      </c>
      <c r="AQ29" s="5" t="s">
        <v>458</v>
      </c>
      <c r="AR29" s="5" t="s">
        <v>458</v>
      </c>
      <c r="AS29" s="5" t="s">
        <v>458</v>
      </c>
      <c r="AT29" s="5" t="s">
        <v>458</v>
      </c>
      <c r="AU29" s="5" t="s">
        <v>458</v>
      </c>
      <c r="AV29" s="5" t="s">
        <v>458</v>
      </c>
      <c r="AW29" s="5" t="s">
        <v>458</v>
      </c>
      <c r="AX29" s="5" t="s">
        <v>458</v>
      </c>
      <c r="AY29" s="5" t="s">
        <v>458</v>
      </c>
      <c r="AZ29" s="5" t="s">
        <v>458</v>
      </c>
      <c r="BA29" s="5" t="s">
        <v>458</v>
      </c>
      <c r="BB29" s="5" t="s">
        <v>458</v>
      </c>
      <c r="BC29" s="5" t="s">
        <v>458</v>
      </c>
      <c r="BD29" s="5" t="s">
        <v>458</v>
      </c>
    </row>
    <row r="30" spans="1:56" x14ac:dyDescent="0.2">
      <c r="A30" s="52">
        <v>5</v>
      </c>
      <c r="B30" s="41">
        <v>27</v>
      </c>
      <c r="C30" s="41" t="s">
        <v>44</v>
      </c>
      <c r="D30" s="5">
        <v>7</v>
      </c>
      <c r="E30" s="5">
        <v>14</v>
      </c>
      <c r="F30" s="5">
        <v>21</v>
      </c>
      <c r="G30" s="5">
        <v>28</v>
      </c>
      <c r="H30" s="5" t="s">
        <v>458</v>
      </c>
      <c r="I30" s="5" t="s">
        <v>458</v>
      </c>
      <c r="J30" s="5" t="s">
        <v>458</v>
      </c>
      <c r="K30" s="5" t="s">
        <v>458</v>
      </c>
      <c r="L30" s="5" t="s">
        <v>458</v>
      </c>
      <c r="M30" s="5" t="s">
        <v>458</v>
      </c>
      <c r="N30" s="5" t="s">
        <v>458</v>
      </c>
      <c r="O30" s="5" t="s">
        <v>458</v>
      </c>
      <c r="P30" s="5" t="s">
        <v>458</v>
      </c>
      <c r="Q30" s="5" t="s">
        <v>458</v>
      </c>
      <c r="R30" s="5" t="s">
        <v>458</v>
      </c>
      <c r="S30" s="5" t="s">
        <v>458</v>
      </c>
      <c r="T30" s="5" t="s">
        <v>458</v>
      </c>
      <c r="U30" s="5" t="s">
        <v>458</v>
      </c>
      <c r="V30" s="5" t="s">
        <v>458</v>
      </c>
      <c r="W30" s="5" t="s">
        <v>458</v>
      </c>
      <c r="X30" s="5" t="s">
        <v>458</v>
      </c>
      <c r="Y30" s="5" t="s">
        <v>458</v>
      </c>
      <c r="Z30" s="5" t="s">
        <v>458</v>
      </c>
      <c r="AA30" s="5" t="s">
        <v>458</v>
      </c>
      <c r="AB30" s="5" t="s">
        <v>458</v>
      </c>
      <c r="AC30" s="5" t="s">
        <v>458</v>
      </c>
      <c r="AD30" s="5" t="s">
        <v>458</v>
      </c>
      <c r="AE30" s="5" t="s">
        <v>458</v>
      </c>
      <c r="AF30" s="5" t="s">
        <v>458</v>
      </c>
      <c r="AG30" s="5" t="s">
        <v>458</v>
      </c>
      <c r="AH30" s="5" t="s">
        <v>458</v>
      </c>
      <c r="AI30" s="5" t="s">
        <v>458</v>
      </c>
      <c r="AJ30" s="5" t="s">
        <v>458</v>
      </c>
      <c r="AK30" s="5" t="s">
        <v>458</v>
      </c>
      <c r="AL30" s="5" t="s">
        <v>458</v>
      </c>
      <c r="AM30" s="5" t="s">
        <v>458</v>
      </c>
      <c r="AN30" s="5" t="s">
        <v>458</v>
      </c>
      <c r="AO30" s="5" t="s">
        <v>458</v>
      </c>
      <c r="AP30" s="5" t="s">
        <v>458</v>
      </c>
      <c r="AQ30" s="5" t="s">
        <v>458</v>
      </c>
      <c r="AR30" s="5" t="s">
        <v>458</v>
      </c>
      <c r="AS30" s="5" t="s">
        <v>458</v>
      </c>
      <c r="AT30" s="5" t="s">
        <v>458</v>
      </c>
      <c r="AU30" s="5" t="s">
        <v>458</v>
      </c>
      <c r="AV30" s="5" t="s">
        <v>458</v>
      </c>
      <c r="AW30" s="5" t="s">
        <v>458</v>
      </c>
      <c r="AX30" s="5" t="s">
        <v>458</v>
      </c>
      <c r="AY30" s="5" t="s">
        <v>458</v>
      </c>
      <c r="AZ30" s="5" t="s">
        <v>458</v>
      </c>
      <c r="BA30" s="5" t="s">
        <v>458</v>
      </c>
      <c r="BB30" s="5" t="s">
        <v>458</v>
      </c>
      <c r="BC30" s="5" t="s">
        <v>458</v>
      </c>
      <c r="BD30" s="5" t="s">
        <v>458</v>
      </c>
    </row>
    <row r="31" spans="1:56" x14ac:dyDescent="0.2">
      <c r="A31" s="52">
        <v>5</v>
      </c>
      <c r="B31" s="41">
        <v>28</v>
      </c>
      <c r="C31" s="41" t="s">
        <v>44</v>
      </c>
      <c r="D31" s="5">
        <v>7</v>
      </c>
      <c r="E31" s="5">
        <v>14</v>
      </c>
      <c r="F31" s="5">
        <v>21</v>
      </c>
      <c r="G31" s="5">
        <v>28</v>
      </c>
      <c r="H31" s="5" t="s">
        <v>458</v>
      </c>
      <c r="I31" s="5" t="s">
        <v>458</v>
      </c>
      <c r="J31" s="5" t="s">
        <v>458</v>
      </c>
      <c r="K31" s="5" t="s">
        <v>458</v>
      </c>
      <c r="L31" s="5" t="s">
        <v>458</v>
      </c>
      <c r="M31" s="5" t="s">
        <v>458</v>
      </c>
      <c r="N31" s="5" t="s">
        <v>458</v>
      </c>
      <c r="O31" s="5" t="s">
        <v>458</v>
      </c>
      <c r="P31" s="5" t="s">
        <v>458</v>
      </c>
      <c r="Q31" s="5" t="s">
        <v>458</v>
      </c>
      <c r="R31" s="5" t="s">
        <v>458</v>
      </c>
      <c r="S31" s="5" t="s">
        <v>458</v>
      </c>
      <c r="T31" s="5" t="s">
        <v>458</v>
      </c>
      <c r="U31" s="5" t="s">
        <v>458</v>
      </c>
      <c r="V31" s="5" t="s">
        <v>458</v>
      </c>
      <c r="W31" s="5" t="s">
        <v>458</v>
      </c>
      <c r="X31" s="5" t="s">
        <v>458</v>
      </c>
      <c r="Y31" s="5" t="s">
        <v>458</v>
      </c>
      <c r="Z31" s="5" t="s">
        <v>458</v>
      </c>
      <c r="AA31" s="5" t="s">
        <v>458</v>
      </c>
      <c r="AB31" s="5" t="s">
        <v>458</v>
      </c>
      <c r="AC31" s="5" t="s">
        <v>458</v>
      </c>
      <c r="AD31" s="5" t="s">
        <v>458</v>
      </c>
      <c r="AE31" s="5" t="s">
        <v>458</v>
      </c>
      <c r="AF31" s="5" t="s">
        <v>458</v>
      </c>
      <c r="AG31" s="5" t="s">
        <v>458</v>
      </c>
      <c r="AH31" s="5" t="s">
        <v>458</v>
      </c>
      <c r="AI31" s="5" t="s">
        <v>458</v>
      </c>
      <c r="AJ31" s="5" t="s">
        <v>458</v>
      </c>
      <c r="AK31" s="5" t="s">
        <v>458</v>
      </c>
      <c r="AL31" s="5" t="s">
        <v>458</v>
      </c>
      <c r="AM31" s="5" t="s">
        <v>458</v>
      </c>
      <c r="AN31" s="5" t="s">
        <v>458</v>
      </c>
      <c r="AO31" s="5" t="s">
        <v>458</v>
      </c>
      <c r="AP31" s="5" t="s">
        <v>458</v>
      </c>
      <c r="AQ31" s="5" t="s">
        <v>458</v>
      </c>
      <c r="AR31" s="5" t="s">
        <v>458</v>
      </c>
      <c r="AS31" s="5" t="s">
        <v>458</v>
      </c>
      <c r="AT31" s="5" t="s">
        <v>458</v>
      </c>
      <c r="AU31" s="5" t="s">
        <v>458</v>
      </c>
      <c r="AV31" s="5" t="s">
        <v>458</v>
      </c>
      <c r="AW31" s="5" t="s">
        <v>458</v>
      </c>
      <c r="AX31" s="5" t="s">
        <v>458</v>
      </c>
      <c r="AY31" s="5" t="s">
        <v>458</v>
      </c>
      <c r="AZ31" s="5" t="s">
        <v>458</v>
      </c>
      <c r="BA31" s="5" t="s">
        <v>458</v>
      </c>
      <c r="BB31" s="5" t="s">
        <v>458</v>
      </c>
      <c r="BC31" s="5" t="s">
        <v>458</v>
      </c>
      <c r="BD31" s="5" t="s">
        <v>458</v>
      </c>
    </row>
    <row r="32" spans="1:56" x14ac:dyDescent="0.2">
      <c r="A32" s="52">
        <v>5</v>
      </c>
      <c r="B32" s="41">
        <v>29</v>
      </c>
      <c r="C32" s="41" t="s">
        <v>44</v>
      </c>
      <c r="D32" s="5">
        <v>7</v>
      </c>
      <c r="E32" s="5">
        <v>14</v>
      </c>
      <c r="F32" s="5">
        <v>21</v>
      </c>
      <c r="G32" s="5">
        <v>28</v>
      </c>
      <c r="H32" s="5" t="s">
        <v>458</v>
      </c>
      <c r="I32" s="5" t="s">
        <v>458</v>
      </c>
      <c r="J32" s="5" t="s">
        <v>458</v>
      </c>
      <c r="K32" s="5" t="s">
        <v>458</v>
      </c>
      <c r="L32" s="5" t="s">
        <v>458</v>
      </c>
      <c r="M32" s="5" t="s">
        <v>458</v>
      </c>
      <c r="N32" s="5" t="s">
        <v>458</v>
      </c>
      <c r="O32" s="5" t="s">
        <v>458</v>
      </c>
      <c r="P32" s="5" t="s">
        <v>458</v>
      </c>
      <c r="Q32" s="5" t="s">
        <v>458</v>
      </c>
      <c r="R32" s="5" t="s">
        <v>458</v>
      </c>
      <c r="S32" s="5" t="s">
        <v>458</v>
      </c>
      <c r="T32" s="5" t="s">
        <v>458</v>
      </c>
      <c r="U32" s="5" t="s">
        <v>458</v>
      </c>
      <c r="V32" s="5" t="s">
        <v>458</v>
      </c>
      <c r="W32" s="5" t="s">
        <v>458</v>
      </c>
      <c r="X32" s="5" t="s">
        <v>458</v>
      </c>
      <c r="Y32" s="5" t="s">
        <v>458</v>
      </c>
      <c r="Z32" s="5" t="s">
        <v>458</v>
      </c>
      <c r="AA32" s="5" t="s">
        <v>458</v>
      </c>
      <c r="AB32" s="5" t="s">
        <v>458</v>
      </c>
      <c r="AC32" s="5" t="s">
        <v>458</v>
      </c>
      <c r="AD32" s="5" t="s">
        <v>458</v>
      </c>
      <c r="AE32" s="5" t="s">
        <v>458</v>
      </c>
      <c r="AF32" s="5" t="s">
        <v>458</v>
      </c>
      <c r="AG32" s="5" t="s">
        <v>458</v>
      </c>
      <c r="AH32" s="5" t="s">
        <v>458</v>
      </c>
      <c r="AI32" s="5" t="s">
        <v>458</v>
      </c>
      <c r="AJ32" s="5" t="s">
        <v>458</v>
      </c>
      <c r="AK32" s="5" t="s">
        <v>458</v>
      </c>
      <c r="AL32" s="5" t="s">
        <v>458</v>
      </c>
      <c r="AM32" s="5" t="s">
        <v>458</v>
      </c>
      <c r="AN32" s="5" t="s">
        <v>458</v>
      </c>
      <c r="AO32" s="5" t="s">
        <v>458</v>
      </c>
      <c r="AP32" s="5" t="s">
        <v>458</v>
      </c>
      <c r="AQ32" s="5" t="s">
        <v>458</v>
      </c>
      <c r="AR32" s="5" t="s">
        <v>458</v>
      </c>
      <c r="AS32" s="5" t="s">
        <v>458</v>
      </c>
      <c r="AT32" s="5" t="s">
        <v>458</v>
      </c>
      <c r="AU32" s="5" t="s">
        <v>458</v>
      </c>
      <c r="AV32" s="5" t="s">
        <v>458</v>
      </c>
      <c r="AW32" s="5" t="s">
        <v>458</v>
      </c>
      <c r="AX32" s="5" t="s">
        <v>458</v>
      </c>
      <c r="AY32" s="5" t="s">
        <v>458</v>
      </c>
      <c r="AZ32" s="5" t="s">
        <v>458</v>
      </c>
      <c r="BA32" s="5" t="s">
        <v>458</v>
      </c>
      <c r="BB32" s="5" t="s">
        <v>458</v>
      </c>
      <c r="BC32" s="5" t="s">
        <v>458</v>
      </c>
      <c r="BD32" s="5" t="s">
        <v>458</v>
      </c>
    </row>
    <row r="33" spans="1:56" x14ac:dyDescent="0.2">
      <c r="A33" s="52">
        <v>5</v>
      </c>
      <c r="B33" s="41">
        <v>30</v>
      </c>
      <c r="C33" s="41" t="s">
        <v>44</v>
      </c>
      <c r="D33" s="5">
        <v>7</v>
      </c>
      <c r="E33" s="5">
        <v>14</v>
      </c>
      <c r="F33" s="5">
        <v>21</v>
      </c>
      <c r="G33" s="5">
        <v>28</v>
      </c>
      <c r="H33" s="5" t="s">
        <v>458</v>
      </c>
      <c r="I33" s="5" t="s">
        <v>458</v>
      </c>
      <c r="J33" s="5" t="s">
        <v>458</v>
      </c>
      <c r="K33" s="5" t="s">
        <v>458</v>
      </c>
      <c r="L33" s="5" t="s">
        <v>458</v>
      </c>
      <c r="M33" s="5" t="s">
        <v>458</v>
      </c>
      <c r="N33" s="5" t="s">
        <v>458</v>
      </c>
      <c r="O33" s="5" t="s">
        <v>458</v>
      </c>
      <c r="P33" s="5" t="s">
        <v>458</v>
      </c>
      <c r="Q33" s="5" t="s">
        <v>458</v>
      </c>
      <c r="R33" s="5" t="s">
        <v>458</v>
      </c>
      <c r="S33" s="5" t="s">
        <v>458</v>
      </c>
      <c r="T33" s="5" t="s">
        <v>458</v>
      </c>
      <c r="U33" s="5" t="s">
        <v>458</v>
      </c>
      <c r="V33" s="5" t="s">
        <v>458</v>
      </c>
      <c r="W33" s="5" t="s">
        <v>458</v>
      </c>
      <c r="X33" s="5" t="s">
        <v>458</v>
      </c>
      <c r="Y33" s="5" t="s">
        <v>458</v>
      </c>
      <c r="Z33" s="5" t="s">
        <v>458</v>
      </c>
      <c r="AA33" s="5" t="s">
        <v>458</v>
      </c>
      <c r="AB33" s="5" t="s">
        <v>458</v>
      </c>
      <c r="AC33" s="5" t="s">
        <v>458</v>
      </c>
      <c r="AD33" s="5" t="s">
        <v>458</v>
      </c>
      <c r="AE33" s="5" t="s">
        <v>458</v>
      </c>
      <c r="AF33" s="5" t="s">
        <v>458</v>
      </c>
      <c r="AG33" s="5" t="s">
        <v>458</v>
      </c>
      <c r="AH33" s="5" t="s">
        <v>458</v>
      </c>
      <c r="AI33" s="5" t="s">
        <v>458</v>
      </c>
      <c r="AJ33" s="5" t="s">
        <v>458</v>
      </c>
      <c r="AK33" s="5" t="s">
        <v>458</v>
      </c>
      <c r="AL33" s="5" t="s">
        <v>458</v>
      </c>
      <c r="AM33" s="5" t="s">
        <v>458</v>
      </c>
      <c r="AN33" s="5" t="s">
        <v>458</v>
      </c>
      <c r="AO33" s="5" t="s">
        <v>458</v>
      </c>
      <c r="AP33" s="5" t="s">
        <v>458</v>
      </c>
      <c r="AQ33" s="5" t="s">
        <v>458</v>
      </c>
      <c r="AR33" s="5" t="s">
        <v>458</v>
      </c>
      <c r="AS33" s="5" t="s">
        <v>458</v>
      </c>
      <c r="AT33" s="5" t="s">
        <v>458</v>
      </c>
      <c r="AU33" s="5" t="s">
        <v>458</v>
      </c>
      <c r="AV33" s="5" t="s">
        <v>458</v>
      </c>
      <c r="AW33" s="5" t="s">
        <v>458</v>
      </c>
      <c r="AX33" s="5" t="s">
        <v>458</v>
      </c>
      <c r="AY33" s="5" t="s">
        <v>458</v>
      </c>
      <c r="AZ33" s="5" t="s">
        <v>458</v>
      </c>
      <c r="BA33" s="5" t="s">
        <v>458</v>
      </c>
      <c r="BB33" s="5" t="s">
        <v>458</v>
      </c>
      <c r="BC33" s="5" t="s">
        <v>458</v>
      </c>
      <c r="BD33" s="5" t="s">
        <v>458</v>
      </c>
    </row>
    <row r="34" spans="1:56" x14ac:dyDescent="0.2">
      <c r="A34" s="52">
        <v>5</v>
      </c>
      <c r="B34" s="41">
        <v>31</v>
      </c>
      <c r="C34" s="41" t="s">
        <v>44</v>
      </c>
      <c r="D34" s="5">
        <v>7</v>
      </c>
      <c r="E34" s="5">
        <v>14</v>
      </c>
      <c r="F34" s="5">
        <v>21</v>
      </c>
      <c r="G34" s="5">
        <v>28</v>
      </c>
      <c r="H34" s="5" t="s">
        <v>458</v>
      </c>
      <c r="I34" s="5" t="s">
        <v>458</v>
      </c>
      <c r="J34" s="5" t="s">
        <v>458</v>
      </c>
      <c r="K34" s="5" t="s">
        <v>458</v>
      </c>
      <c r="L34" s="5" t="s">
        <v>458</v>
      </c>
      <c r="M34" s="5" t="s">
        <v>458</v>
      </c>
      <c r="N34" s="5" t="s">
        <v>458</v>
      </c>
      <c r="O34" s="5" t="s">
        <v>458</v>
      </c>
      <c r="P34" s="5" t="s">
        <v>458</v>
      </c>
      <c r="Q34" s="5" t="s">
        <v>458</v>
      </c>
      <c r="R34" s="5" t="s">
        <v>458</v>
      </c>
      <c r="S34" s="5" t="s">
        <v>458</v>
      </c>
      <c r="T34" s="5" t="s">
        <v>458</v>
      </c>
      <c r="U34" s="5" t="s">
        <v>458</v>
      </c>
      <c r="V34" s="5" t="s">
        <v>458</v>
      </c>
      <c r="W34" s="5" t="s">
        <v>458</v>
      </c>
      <c r="X34" s="5" t="s">
        <v>458</v>
      </c>
      <c r="Y34" s="5" t="s">
        <v>458</v>
      </c>
      <c r="Z34" s="5" t="s">
        <v>458</v>
      </c>
      <c r="AA34" s="5" t="s">
        <v>458</v>
      </c>
      <c r="AB34" s="5" t="s">
        <v>458</v>
      </c>
      <c r="AC34" s="5" t="s">
        <v>458</v>
      </c>
      <c r="AD34" s="5" t="s">
        <v>458</v>
      </c>
      <c r="AE34" s="5" t="s">
        <v>458</v>
      </c>
      <c r="AF34" s="5" t="s">
        <v>458</v>
      </c>
      <c r="AG34" s="5" t="s">
        <v>458</v>
      </c>
      <c r="AH34" s="5" t="s">
        <v>458</v>
      </c>
      <c r="AI34" s="5" t="s">
        <v>458</v>
      </c>
      <c r="AJ34" s="5" t="s">
        <v>458</v>
      </c>
      <c r="AK34" s="5" t="s">
        <v>458</v>
      </c>
      <c r="AL34" s="5" t="s">
        <v>458</v>
      </c>
      <c r="AM34" s="5" t="s">
        <v>458</v>
      </c>
      <c r="AN34" s="5" t="s">
        <v>458</v>
      </c>
      <c r="AO34" s="5" t="s">
        <v>458</v>
      </c>
      <c r="AP34" s="5" t="s">
        <v>458</v>
      </c>
      <c r="AQ34" s="5" t="s">
        <v>458</v>
      </c>
      <c r="AR34" s="5" t="s">
        <v>458</v>
      </c>
      <c r="AS34" s="5" t="s">
        <v>458</v>
      </c>
      <c r="AT34" s="5" t="s">
        <v>458</v>
      </c>
      <c r="AU34" s="5" t="s">
        <v>458</v>
      </c>
      <c r="AV34" s="5" t="s">
        <v>458</v>
      </c>
      <c r="AW34" s="5" t="s">
        <v>458</v>
      </c>
      <c r="AX34" s="5" t="s">
        <v>458</v>
      </c>
      <c r="AY34" s="5" t="s">
        <v>458</v>
      </c>
      <c r="AZ34" s="5" t="s">
        <v>458</v>
      </c>
      <c r="BA34" s="5" t="s">
        <v>458</v>
      </c>
      <c r="BB34" s="5" t="s">
        <v>458</v>
      </c>
      <c r="BC34" s="5" t="s">
        <v>458</v>
      </c>
      <c r="BD34" s="5" t="s">
        <v>458</v>
      </c>
    </row>
    <row r="35" spans="1:56" x14ac:dyDescent="0.2">
      <c r="A35" s="52">
        <v>5</v>
      </c>
      <c r="B35" s="41">
        <v>32</v>
      </c>
      <c r="C35" s="41" t="s">
        <v>44</v>
      </c>
      <c r="D35" s="5">
        <v>7</v>
      </c>
      <c r="E35" s="5">
        <v>14</v>
      </c>
      <c r="F35" s="5">
        <v>21</v>
      </c>
      <c r="G35" s="5">
        <v>28</v>
      </c>
      <c r="H35" s="5" t="s">
        <v>458</v>
      </c>
      <c r="I35" s="5" t="s">
        <v>458</v>
      </c>
      <c r="J35" s="5" t="s">
        <v>458</v>
      </c>
      <c r="K35" s="5" t="s">
        <v>458</v>
      </c>
      <c r="L35" s="5" t="s">
        <v>458</v>
      </c>
      <c r="M35" s="5" t="s">
        <v>458</v>
      </c>
      <c r="N35" s="5" t="s">
        <v>458</v>
      </c>
      <c r="O35" s="5" t="s">
        <v>458</v>
      </c>
      <c r="P35" s="5" t="s">
        <v>458</v>
      </c>
      <c r="Q35" s="5" t="s">
        <v>458</v>
      </c>
      <c r="R35" s="5" t="s">
        <v>458</v>
      </c>
      <c r="S35" s="5" t="s">
        <v>458</v>
      </c>
      <c r="T35" s="5" t="s">
        <v>458</v>
      </c>
      <c r="U35" s="5" t="s">
        <v>458</v>
      </c>
      <c r="V35" s="5" t="s">
        <v>458</v>
      </c>
      <c r="W35" s="5" t="s">
        <v>458</v>
      </c>
      <c r="X35" s="5" t="s">
        <v>458</v>
      </c>
      <c r="Y35" s="5" t="s">
        <v>458</v>
      </c>
      <c r="Z35" s="5" t="s">
        <v>458</v>
      </c>
      <c r="AA35" s="5" t="s">
        <v>458</v>
      </c>
      <c r="AB35" s="5" t="s">
        <v>458</v>
      </c>
      <c r="AC35" s="5" t="s">
        <v>458</v>
      </c>
      <c r="AD35" s="5" t="s">
        <v>458</v>
      </c>
      <c r="AE35" s="5" t="s">
        <v>458</v>
      </c>
      <c r="AF35" s="5" t="s">
        <v>458</v>
      </c>
      <c r="AG35" s="5" t="s">
        <v>458</v>
      </c>
      <c r="AH35" s="5" t="s">
        <v>458</v>
      </c>
      <c r="AI35" s="5" t="s">
        <v>458</v>
      </c>
      <c r="AJ35" s="5" t="s">
        <v>458</v>
      </c>
      <c r="AK35" s="5" t="s">
        <v>458</v>
      </c>
      <c r="AL35" s="5" t="s">
        <v>458</v>
      </c>
      <c r="AM35" s="5" t="s">
        <v>458</v>
      </c>
      <c r="AN35" s="5" t="s">
        <v>458</v>
      </c>
      <c r="AO35" s="5" t="s">
        <v>458</v>
      </c>
      <c r="AP35" s="5" t="s">
        <v>458</v>
      </c>
      <c r="AQ35" s="5" t="s">
        <v>458</v>
      </c>
      <c r="AR35" s="5" t="s">
        <v>458</v>
      </c>
      <c r="AS35" s="5" t="s">
        <v>458</v>
      </c>
      <c r="AT35" s="5" t="s">
        <v>458</v>
      </c>
      <c r="AU35" s="5" t="s">
        <v>458</v>
      </c>
      <c r="AV35" s="5" t="s">
        <v>458</v>
      </c>
      <c r="AW35" s="5" t="s">
        <v>458</v>
      </c>
      <c r="AX35" s="5" t="s">
        <v>458</v>
      </c>
      <c r="AY35" s="5" t="s">
        <v>458</v>
      </c>
      <c r="AZ35" s="5" t="s">
        <v>458</v>
      </c>
      <c r="BA35" s="5" t="s">
        <v>458</v>
      </c>
      <c r="BB35" s="5" t="s">
        <v>458</v>
      </c>
      <c r="BC35" s="5" t="s">
        <v>458</v>
      </c>
      <c r="BD35" s="5" t="s">
        <v>458</v>
      </c>
    </row>
    <row r="36" spans="1:56" x14ac:dyDescent="0.2">
      <c r="A36" s="52">
        <v>5</v>
      </c>
      <c r="B36" s="41">
        <v>33</v>
      </c>
      <c r="C36" s="41" t="s">
        <v>162</v>
      </c>
      <c r="D36" s="5">
        <v>7</v>
      </c>
      <c r="E36" s="5">
        <v>14</v>
      </c>
      <c r="F36" s="5">
        <v>21</v>
      </c>
      <c r="G36" s="5">
        <v>28</v>
      </c>
      <c r="H36" s="5" t="s">
        <v>458</v>
      </c>
      <c r="I36" s="5" t="s">
        <v>458</v>
      </c>
      <c r="J36" s="5" t="s">
        <v>458</v>
      </c>
      <c r="K36" s="5" t="s">
        <v>458</v>
      </c>
      <c r="L36" s="5" t="s">
        <v>458</v>
      </c>
      <c r="M36" s="5" t="s">
        <v>458</v>
      </c>
      <c r="N36" s="5" t="s">
        <v>458</v>
      </c>
      <c r="O36" s="5" t="s">
        <v>458</v>
      </c>
      <c r="P36" s="5" t="s">
        <v>458</v>
      </c>
      <c r="Q36" s="5" t="s">
        <v>458</v>
      </c>
      <c r="R36" s="5" t="s">
        <v>458</v>
      </c>
      <c r="S36" s="5" t="s">
        <v>458</v>
      </c>
      <c r="T36" s="5" t="s">
        <v>458</v>
      </c>
      <c r="U36" s="5" t="s">
        <v>458</v>
      </c>
      <c r="V36" s="5" t="s">
        <v>458</v>
      </c>
      <c r="W36" s="5" t="s">
        <v>458</v>
      </c>
      <c r="X36" s="5" t="s">
        <v>458</v>
      </c>
      <c r="Y36" s="5" t="s">
        <v>458</v>
      </c>
      <c r="Z36" s="5" t="s">
        <v>458</v>
      </c>
      <c r="AA36" s="5" t="s">
        <v>458</v>
      </c>
      <c r="AB36" s="5" t="s">
        <v>458</v>
      </c>
      <c r="AC36" s="5" t="s">
        <v>458</v>
      </c>
      <c r="AD36" s="5" t="s">
        <v>458</v>
      </c>
      <c r="AE36" s="5" t="s">
        <v>458</v>
      </c>
      <c r="AF36" s="5" t="s">
        <v>458</v>
      </c>
      <c r="AG36" s="5" t="s">
        <v>458</v>
      </c>
      <c r="AH36" s="5" t="s">
        <v>458</v>
      </c>
      <c r="AI36" s="5" t="s">
        <v>458</v>
      </c>
      <c r="AJ36" s="5" t="s">
        <v>458</v>
      </c>
      <c r="AK36" s="5" t="s">
        <v>458</v>
      </c>
      <c r="AL36" s="5" t="s">
        <v>458</v>
      </c>
      <c r="AM36" s="5" t="s">
        <v>458</v>
      </c>
      <c r="AN36" s="5" t="s">
        <v>458</v>
      </c>
      <c r="AO36" s="5" t="s">
        <v>458</v>
      </c>
      <c r="AP36" s="5" t="s">
        <v>458</v>
      </c>
      <c r="AQ36" s="5" t="s">
        <v>458</v>
      </c>
      <c r="AR36" s="5" t="s">
        <v>458</v>
      </c>
      <c r="AS36" s="5" t="s">
        <v>458</v>
      </c>
      <c r="AT36" s="5" t="s">
        <v>458</v>
      </c>
      <c r="AU36" s="5" t="s">
        <v>458</v>
      </c>
      <c r="AV36" s="5" t="s">
        <v>458</v>
      </c>
      <c r="AW36" s="5" t="s">
        <v>458</v>
      </c>
      <c r="AX36" s="5" t="s">
        <v>458</v>
      </c>
      <c r="AY36" s="5" t="s">
        <v>458</v>
      </c>
      <c r="AZ36" s="5" t="s">
        <v>458</v>
      </c>
      <c r="BA36" s="5" t="s">
        <v>458</v>
      </c>
      <c r="BB36" s="5" t="s">
        <v>458</v>
      </c>
      <c r="BC36" s="5" t="s">
        <v>458</v>
      </c>
      <c r="BD36" s="5" t="s">
        <v>458</v>
      </c>
    </row>
    <row r="37" spans="1:56" x14ac:dyDescent="0.2">
      <c r="A37" s="52">
        <v>5</v>
      </c>
      <c r="B37" s="41">
        <v>34</v>
      </c>
      <c r="C37" s="41" t="s">
        <v>45</v>
      </c>
      <c r="D37" s="5">
        <v>7</v>
      </c>
      <c r="E37" s="5">
        <v>14</v>
      </c>
      <c r="F37" s="5">
        <v>21</v>
      </c>
      <c r="G37" s="5">
        <v>28</v>
      </c>
      <c r="H37" s="5" t="s">
        <v>458</v>
      </c>
      <c r="I37" s="5" t="s">
        <v>458</v>
      </c>
      <c r="J37" s="5" t="s">
        <v>458</v>
      </c>
      <c r="K37" s="5" t="s">
        <v>458</v>
      </c>
      <c r="L37" s="5" t="s">
        <v>458</v>
      </c>
      <c r="M37" s="5" t="s">
        <v>458</v>
      </c>
      <c r="N37" s="5" t="s">
        <v>458</v>
      </c>
      <c r="O37" s="5" t="s">
        <v>458</v>
      </c>
      <c r="P37" s="5" t="s">
        <v>458</v>
      </c>
      <c r="Q37" s="5" t="s">
        <v>458</v>
      </c>
      <c r="R37" s="5" t="s">
        <v>458</v>
      </c>
      <c r="S37" s="5" t="s">
        <v>458</v>
      </c>
      <c r="T37" s="5" t="s">
        <v>458</v>
      </c>
      <c r="U37" s="5" t="s">
        <v>458</v>
      </c>
      <c r="V37" s="5" t="s">
        <v>458</v>
      </c>
      <c r="W37" s="5" t="s">
        <v>458</v>
      </c>
      <c r="X37" s="5" t="s">
        <v>458</v>
      </c>
      <c r="Y37" s="5" t="s">
        <v>458</v>
      </c>
      <c r="Z37" s="5" t="s">
        <v>458</v>
      </c>
      <c r="AA37" s="5" t="s">
        <v>458</v>
      </c>
      <c r="AB37" s="5" t="s">
        <v>458</v>
      </c>
      <c r="AC37" s="5" t="s">
        <v>458</v>
      </c>
      <c r="AD37" s="5" t="s">
        <v>458</v>
      </c>
      <c r="AE37" s="5" t="s">
        <v>458</v>
      </c>
      <c r="AF37" s="5" t="s">
        <v>458</v>
      </c>
      <c r="AG37" s="5" t="s">
        <v>458</v>
      </c>
      <c r="AH37" s="5" t="s">
        <v>458</v>
      </c>
      <c r="AI37" s="5" t="s">
        <v>458</v>
      </c>
      <c r="AJ37" s="5" t="s">
        <v>458</v>
      </c>
      <c r="AK37" s="5" t="s">
        <v>458</v>
      </c>
      <c r="AL37" s="5" t="s">
        <v>458</v>
      </c>
      <c r="AM37" s="5" t="s">
        <v>458</v>
      </c>
      <c r="AN37" s="5" t="s">
        <v>458</v>
      </c>
      <c r="AO37" s="5" t="s">
        <v>458</v>
      </c>
      <c r="AP37" s="5" t="s">
        <v>458</v>
      </c>
      <c r="AQ37" s="5" t="s">
        <v>458</v>
      </c>
      <c r="AR37" s="5" t="s">
        <v>458</v>
      </c>
      <c r="AS37" s="5" t="s">
        <v>458</v>
      </c>
      <c r="AT37" s="5" t="s">
        <v>458</v>
      </c>
      <c r="AU37" s="5" t="s">
        <v>458</v>
      </c>
      <c r="AV37" s="5" t="s">
        <v>458</v>
      </c>
      <c r="AW37" s="5" t="s">
        <v>458</v>
      </c>
      <c r="AX37" s="5" t="s">
        <v>458</v>
      </c>
      <c r="AY37" s="5" t="s">
        <v>458</v>
      </c>
      <c r="AZ37" s="5" t="s">
        <v>458</v>
      </c>
      <c r="BA37" s="5" t="s">
        <v>458</v>
      </c>
      <c r="BB37" s="5" t="s">
        <v>458</v>
      </c>
      <c r="BC37" s="5" t="s">
        <v>458</v>
      </c>
      <c r="BD37" s="5" t="s">
        <v>458</v>
      </c>
    </row>
    <row r="38" spans="1:56" x14ac:dyDescent="0.2">
      <c r="A38" s="52">
        <v>5</v>
      </c>
      <c r="B38" s="41">
        <v>35</v>
      </c>
      <c r="C38" s="41" t="s">
        <v>45</v>
      </c>
      <c r="D38" s="5">
        <v>7</v>
      </c>
      <c r="E38" s="5">
        <v>14</v>
      </c>
      <c r="F38" s="5">
        <v>21</v>
      </c>
      <c r="G38" s="5">
        <v>28</v>
      </c>
      <c r="H38" s="5" t="s">
        <v>458</v>
      </c>
      <c r="I38" s="5" t="s">
        <v>458</v>
      </c>
      <c r="J38" s="5" t="s">
        <v>458</v>
      </c>
      <c r="K38" s="5" t="s">
        <v>458</v>
      </c>
      <c r="L38" s="5" t="s">
        <v>458</v>
      </c>
      <c r="M38" s="5" t="s">
        <v>458</v>
      </c>
      <c r="N38" s="5" t="s">
        <v>458</v>
      </c>
      <c r="O38" s="5" t="s">
        <v>458</v>
      </c>
      <c r="P38" s="5" t="s">
        <v>458</v>
      </c>
      <c r="Q38" s="5" t="s">
        <v>458</v>
      </c>
      <c r="R38" s="5" t="s">
        <v>458</v>
      </c>
      <c r="S38" s="5" t="s">
        <v>458</v>
      </c>
      <c r="T38" s="5" t="s">
        <v>458</v>
      </c>
      <c r="U38" s="5" t="s">
        <v>458</v>
      </c>
      <c r="V38" s="5" t="s">
        <v>458</v>
      </c>
      <c r="W38" s="5" t="s">
        <v>458</v>
      </c>
      <c r="X38" s="5" t="s">
        <v>458</v>
      </c>
      <c r="Y38" s="5" t="s">
        <v>458</v>
      </c>
      <c r="Z38" s="5" t="s">
        <v>458</v>
      </c>
      <c r="AA38" s="5" t="s">
        <v>458</v>
      </c>
      <c r="AB38" s="5" t="s">
        <v>458</v>
      </c>
      <c r="AC38" s="5" t="s">
        <v>458</v>
      </c>
      <c r="AD38" s="5" t="s">
        <v>458</v>
      </c>
      <c r="AE38" s="5" t="s">
        <v>458</v>
      </c>
      <c r="AF38" s="5" t="s">
        <v>458</v>
      </c>
      <c r="AG38" s="5" t="s">
        <v>458</v>
      </c>
      <c r="AH38" s="5" t="s">
        <v>458</v>
      </c>
      <c r="AI38" s="5" t="s">
        <v>458</v>
      </c>
      <c r="AJ38" s="5" t="s">
        <v>458</v>
      </c>
      <c r="AK38" s="5" t="s">
        <v>458</v>
      </c>
      <c r="AL38" s="5" t="s">
        <v>458</v>
      </c>
      <c r="AM38" s="5" t="s">
        <v>458</v>
      </c>
      <c r="AN38" s="5" t="s">
        <v>458</v>
      </c>
      <c r="AO38" s="5" t="s">
        <v>458</v>
      </c>
      <c r="AP38" s="5" t="s">
        <v>458</v>
      </c>
      <c r="AQ38" s="5" t="s">
        <v>458</v>
      </c>
      <c r="AR38" s="5" t="s">
        <v>458</v>
      </c>
      <c r="AS38" s="5" t="s">
        <v>458</v>
      </c>
      <c r="AT38" s="5" t="s">
        <v>458</v>
      </c>
      <c r="AU38" s="5" t="s">
        <v>458</v>
      </c>
      <c r="AV38" s="5" t="s">
        <v>458</v>
      </c>
      <c r="AW38" s="5" t="s">
        <v>458</v>
      </c>
      <c r="AX38" s="5" t="s">
        <v>458</v>
      </c>
      <c r="AY38" s="5" t="s">
        <v>458</v>
      </c>
      <c r="AZ38" s="5" t="s">
        <v>458</v>
      </c>
      <c r="BA38" s="5" t="s">
        <v>458</v>
      </c>
      <c r="BB38" s="5" t="s">
        <v>458</v>
      </c>
      <c r="BC38" s="5" t="s">
        <v>458</v>
      </c>
      <c r="BD38" s="5" t="s">
        <v>458</v>
      </c>
    </row>
    <row r="39" spans="1:56" x14ac:dyDescent="0.2">
      <c r="A39" s="52">
        <v>5</v>
      </c>
      <c r="B39" s="41">
        <v>36</v>
      </c>
      <c r="C39" s="41" t="s">
        <v>45</v>
      </c>
      <c r="D39" s="5">
        <v>7</v>
      </c>
      <c r="E39" s="5">
        <v>14</v>
      </c>
      <c r="F39" s="5">
        <v>21</v>
      </c>
      <c r="G39" s="5">
        <v>28</v>
      </c>
      <c r="H39" s="5" t="s">
        <v>458</v>
      </c>
      <c r="I39" s="5" t="s">
        <v>458</v>
      </c>
      <c r="J39" s="5" t="s">
        <v>458</v>
      </c>
      <c r="K39" s="5" t="s">
        <v>458</v>
      </c>
      <c r="L39" s="5" t="s">
        <v>458</v>
      </c>
      <c r="M39" s="5" t="s">
        <v>458</v>
      </c>
      <c r="N39" s="5" t="s">
        <v>458</v>
      </c>
      <c r="O39" s="5" t="s">
        <v>458</v>
      </c>
      <c r="P39" s="5" t="s">
        <v>458</v>
      </c>
      <c r="Q39" s="5" t="s">
        <v>458</v>
      </c>
      <c r="R39" s="5" t="s">
        <v>458</v>
      </c>
      <c r="S39" s="5" t="s">
        <v>458</v>
      </c>
      <c r="T39" s="5" t="s">
        <v>458</v>
      </c>
      <c r="U39" s="5" t="s">
        <v>458</v>
      </c>
      <c r="V39" s="5" t="s">
        <v>458</v>
      </c>
      <c r="W39" s="5" t="s">
        <v>458</v>
      </c>
      <c r="X39" s="5" t="s">
        <v>458</v>
      </c>
      <c r="Y39" s="5" t="s">
        <v>458</v>
      </c>
      <c r="Z39" s="5" t="s">
        <v>458</v>
      </c>
      <c r="AA39" s="5" t="s">
        <v>458</v>
      </c>
      <c r="AB39" s="5" t="s">
        <v>458</v>
      </c>
      <c r="AC39" s="5" t="s">
        <v>458</v>
      </c>
      <c r="AD39" s="5" t="s">
        <v>458</v>
      </c>
      <c r="AE39" s="5" t="s">
        <v>458</v>
      </c>
      <c r="AF39" s="5" t="s">
        <v>458</v>
      </c>
      <c r="AG39" s="5" t="s">
        <v>458</v>
      </c>
      <c r="AH39" s="5" t="s">
        <v>458</v>
      </c>
      <c r="AI39" s="5" t="s">
        <v>458</v>
      </c>
      <c r="AJ39" s="5" t="s">
        <v>458</v>
      </c>
      <c r="AK39" s="5" t="s">
        <v>458</v>
      </c>
      <c r="AL39" s="5" t="s">
        <v>458</v>
      </c>
      <c r="AM39" s="5" t="s">
        <v>458</v>
      </c>
      <c r="AN39" s="5" t="s">
        <v>458</v>
      </c>
      <c r="AO39" s="5" t="s">
        <v>458</v>
      </c>
      <c r="AP39" s="5" t="s">
        <v>458</v>
      </c>
      <c r="AQ39" s="5" t="s">
        <v>458</v>
      </c>
      <c r="AR39" s="5" t="s">
        <v>458</v>
      </c>
      <c r="AS39" s="5" t="s">
        <v>458</v>
      </c>
      <c r="AT39" s="5" t="s">
        <v>458</v>
      </c>
      <c r="AU39" s="5" t="s">
        <v>458</v>
      </c>
      <c r="AV39" s="5" t="s">
        <v>458</v>
      </c>
      <c r="AW39" s="5" t="s">
        <v>458</v>
      </c>
      <c r="AX39" s="5" t="s">
        <v>458</v>
      </c>
      <c r="AY39" s="5" t="s">
        <v>458</v>
      </c>
      <c r="AZ39" s="5" t="s">
        <v>458</v>
      </c>
      <c r="BA39" s="5" t="s">
        <v>458</v>
      </c>
      <c r="BB39" s="5" t="s">
        <v>458</v>
      </c>
      <c r="BC39" s="5" t="s">
        <v>458</v>
      </c>
      <c r="BD39" s="5" t="s">
        <v>458</v>
      </c>
    </row>
    <row r="40" spans="1:56" x14ac:dyDescent="0.2">
      <c r="A40" s="52">
        <v>5</v>
      </c>
      <c r="B40" s="41">
        <v>37</v>
      </c>
      <c r="C40" s="41" t="s">
        <v>45</v>
      </c>
      <c r="D40" s="5">
        <v>7</v>
      </c>
      <c r="E40" s="5">
        <v>14</v>
      </c>
      <c r="F40" s="5">
        <v>21</v>
      </c>
      <c r="G40" s="5">
        <v>28</v>
      </c>
      <c r="H40" s="5" t="s">
        <v>458</v>
      </c>
      <c r="I40" s="5" t="s">
        <v>458</v>
      </c>
      <c r="J40" s="5" t="s">
        <v>458</v>
      </c>
      <c r="K40" s="5" t="s">
        <v>458</v>
      </c>
      <c r="L40" s="5" t="s">
        <v>458</v>
      </c>
      <c r="M40" s="5" t="s">
        <v>458</v>
      </c>
      <c r="N40" s="5" t="s">
        <v>458</v>
      </c>
      <c r="O40" s="5" t="s">
        <v>458</v>
      </c>
      <c r="P40" s="5" t="s">
        <v>458</v>
      </c>
      <c r="Q40" s="5" t="s">
        <v>458</v>
      </c>
      <c r="R40" s="5" t="s">
        <v>458</v>
      </c>
      <c r="S40" s="5" t="s">
        <v>458</v>
      </c>
      <c r="T40" s="5" t="s">
        <v>458</v>
      </c>
      <c r="U40" s="5" t="s">
        <v>458</v>
      </c>
      <c r="V40" s="5" t="s">
        <v>458</v>
      </c>
      <c r="W40" s="5" t="s">
        <v>458</v>
      </c>
      <c r="X40" s="5" t="s">
        <v>458</v>
      </c>
      <c r="Y40" s="5" t="s">
        <v>458</v>
      </c>
      <c r="Z40" s="5" t="s">
        <v>458</v>
      </c>
      <c r="AA40" s="5" t="s">
        <v>458</v>
      </c>
      <c r="AB40" s="5" t="s">
        <v>458</v>
      </c>
      <c r="AC40" s="5" t="s">
        <v>458</v>
      </c>
      <c r="AD40" s="5" t="s">
        <v>458</v>
      </c>
      <c r="AE40" s="5" t="s">
        <v>458</v>
      </c>
      <c r="AF40" s="5" t="s">
        <v>458</v>
      </c>
      <c r="AG40" s="5" t="s">
        <v>458</v>
      </c>
      <c r="AH40" s="5" t="s">
        <v>458</v>
      </c>
      <c r="AI40" s="5" t="s">
        <v>458</v>
      </c>
      <c r="AJ40" s="5" t="s">
        <v>458</v>
      </c>
      <c r="AK40" s="5" t="s">
        <v>458</v>
      </c>
      <c r="AL40" s="5" t="s">
        <v>458</v>
      </c>
      <c r="AM40" s="5" t="s">
        <v>458</v>
      </c>
      <c r="AN40" s="5" t="s">
        <v>458</v>
      </c>
      <c r="AO40" s="5" t="s">
        <v>458</v>
      </c>
      <c r="AP40" s="5" t="s">
        <v>458</v>
      </c>
      <c r="AQ40" s="5" t="s">
        <v>458</v>
      </c>
      <c r="AR40" s="5" t="s">
        <v>458</v>
      </c>
      <c r="AS40" s="5" t="s">
        <v>458</v>
      </c>
      <c r="AT40" s="5" t="s">
        <v>458</v>
      </c>
      <c r="AU40" s="5" t="s">
        <v>458</v>
      </c>
      <c r="AV40" s="5" t="s">
        <v>458</v>
      </c>
      <c r="AW40" s="5" t="s">
        <v>458</v>
      </c>
      <c r="AX40" s="5" t="s">
        <v>458</v>
      </c>
      <c r="AY40" s="5" t="s">
        <v>458</v>
      </c>
      <c r="AZ40" s="5" t="s">
        <v>458</v>
      </c>
      <c r="BA40" s="5" t="s">
        <v>458</v>
      </c>
      <c r="BB40" s="5" t="s">
        <v>458</v>
      </c>
      <c r="BC40" s="5" t="s">
        <v>458</v>
      </c>
      <c r="BD40" s="5" t="s">
        <v>458</v>
      </c>
    </row>
    <row r="41" spans="1:56" x14ac:dyDescent="0.2">
      <c r="A41" s="52">
        <v>5</v>
      </c>
      <c r="B41" s="41">
        <v>38</v>
      </c>
      <c r="C41" s="41" t="s">
        <v>45</v>
      </c>
      <c r="D41" s="5">
        <v>7</v>
      </c>
      <c r="E41" s="5">
        <v>14</v>
      </c>
      <c r="F41" s="5">
        <v>21</v>
      </c>
      <c r="G41" s="5">
        <v>28</v>
      </c>
      <c r="H41" s="5" t="s">
        <v>458</v>
      </c>
      <c r="I41" s="5" t="s">
        <v>458</v>
      </c>
      <c r="J41" s="5" t="s">
        <v>458</v>
      </c>
      <c r="K41" s="5" t="s">
        <v>458</v>
      </c>
      <c r="L41" s="5" t="s">
        <v>458</v>
      </c>
      <c r="M41" s="5" t="s">
        <v>458</v>
      </c>
      <c r="N41" s="5" t="s">
        <v>458</v>
      </c>
      <c r="O41" s="5" t="s">
        <v>458</v>
      </c>
      <c r="P41" s="5" t="s">
        <v>458</v>
      </c>
      <c r="Q41" s="5" t="s">
        <v>458</v>
      </c>
      <c r="R41" s="5" t="s">
        <v>458</v>
      </c>
      <c r="S41" s="5" t="s">
        <v>458</v>
      </c>
      <c r="T41" s="5" t="s">
        <v>458</v>
      </c>
      <c r="U41" s="5" t="s">
        <v>458</v>
      </c>
      <c r="V41" s="5" t="s">
        <v>458</v>
      </c>
      <c r="W41" s="5" t="s">
        <v>458</v>
      </c>
      <c r="X41" s="5" t="s">
        <v>458</v>
      </c>
      <c r="Y41" s="5" t="s">
        <v>458</v>
      </c>
      <c r="Z41" s="5" t="s">
        <v>458</v>
      </c>
      <c r="AA41" s="5" t="s">
        <v>458</v>
      </c>
      <c r="AB41" s="5" t="s">
        <v>458</v>
      </c>
      <c r="AC41" s="5" t="s">
        <v>458</v>
      </c>
      <c r="AD41" s="5" t="s">
        <v>458</v>
      </c>
      <c r="AE41" s="5" t="s">
        <v>458</v>
      </c>
      <c r="AF41" s="5" t="s">
        <v>458</v>
      </c>
      <c r="AG41" s="5" t="s">
        <v>458</v>
      </c>
      <c r="AH41" s="5" t="s">
        <v>458</v>
      </c>
      <c r="AI41" s="5" t="s">
        <v>458</v>
      </c>
      <c r="AJ41" s="5" t="s">
        <v>458</v>
      </c>
      <c r="AK41" s="5" t="s">
        <v>458</v>
      </c>
      <c r="AL41" s="5" t="s">
        <v>458</v>
      </c>
      <c r="AM41" s="5" t="s">
        <v>458</v>
      </c>
      <c r="AN41" s="5" t="s">
        <v>458</v>
      </c>
      <c r="AO41" s="5" t="s">
        <v>458</v>
      </c>
      <c r="AP41" s="5" t="s">
        <v>458</v>
      </c>
      <c r="AQ41" s="5" t="s">
        <v>458</v>
      </c>
      <c r="AR41" s="5" t="s">
        <v>458</v>
      </c>
      <c r="AS41" s="5" t="s">
        <v>458</v>
      </c>
      <c r="AT41" s="5" t="s">
        <v>458</v>
      </c>
      <c r="AU41" s="5" t="s">
        <v>458</v>
      </c>
      <c r="AV41" s="5" t="s">
        <v>458</v>
      </c>
      <c r="AW41" s="5" t="s">
        <v>458</v>
      </c>
      <c r="AX41" s="5" t="s">
        <v>458</v>
      </c>
      <c r="AY41" s="5" t="s">
        <v>458</v>
      </c>
      <c r="AZ41" s="5" t="s">
        <v>458</v>
      </c>
      <c r="BA41" s="5" t="s">
        <v>458</v>
      </c>
      <c r="BB41" s="5" t="s">
        <v>458</v>
      </c>
      <c r="BC41" s="5" t="s">
        <v>458</v>
      </c>
      <c r="BD41" s="5" t="s">
        <v>458</v>
      </c>
    </row>
    <row r="42" spans="1:56" x14ac:dyDescent="0.2">
      <c r="A42" s="52">
        <v>5</v>
      </c>
      <c r="B42" s="41">
        <v>39</v>
      </c>
      <c r="C42" s="41" t="s">
        <v>45</v>
      </c>
      <c r="D42" s="5">
        <v>7</v>
      </c>
      <c r="E42" s="5">
        <v>14</v>
      </c>
      <c r="F42" s="5">
        <v>21</v>
      </c>
      <c r="G42" s="5">
        <v>28</v>
      </c>
      <c r="H42" s="5" t="s">
        <v>458</v>
      </c>
      <c r="I42" s="5" t="s">
        <v>458</v>
      </c>
      <c r="J42" s="5" t="s">
        <v>458</v>
      </c>
      <c r="K42" s="5" t="s">
        <v>458</v>
      </c>
      <c r="L42" s="5" t="s">
        <v>458</v>
      </c>
      <c r="M42" s="5" t="s">
        <v>458</v>
      </c>
      <c r="N42" s="5" t="s">
        <v>458</v>
      </c>
      <c r="O42" s="5" t="s">
        <v>458</v>
      </c>
      <c r="P42" s="5" t="s">
        <v>458</v>
      </c>
      <c r="Q42" s="5" t="s">
        <v>458</v>
      </c>
      <c r="R42" s="5" t="s">
        <v>458</v>
      </c>
      <c r="S42" s="5" t="s">
        <v>458</v>
      </c>
      <c r="T42" s="5" t="s">
        <v>458</v>
      </c>
      <c r="U42" s="5" t="s">
        <v>458</v>
      </c>
      <c r="V42" s="5" t="s">
        <v>458</v>
      </c>
      <c r="W42" s="5" t="s">
        <v>458</v>
      </c>
      <c r="X42" s="5" t="s">
        <v>458</v>
      </c>
      <c r="Y42" s="5" t="s">
        <v>458</v>
      </c>
      <c r="Z42" s="5" t="s">
        <v>458</v>
      </c>
      <c r="AA42" s="5" t="s">
        <v>458</v>
      </c>
      <c r="AB42" s="5" t="s">
        <v>458</v>
      </c>
      <c r="AC42" s="5" t="s">
        <v>458</v>
      </c>
      <c r="AD42" s="5" t="s">
        <v>458</v>
      </c>
      <c r="AE42" s="5" t="s">
        <v>458</v>
      </c>
      <c r="AF42" s="5" t="s">
        <v>458</v>
      </c>
      <c r="AG42" s="5" t="s">
        <v>458</v>
      </c>
      <c r="AH42" s="5" t="s">
        <v>458</v>
      </c>
      <c r="AI42" s="5" t="s">
        <v>458</v>
      </c>
      <c r="AJ42" s="5" t="s">
        <v>458</v>
      </c>
      <c r="AK42" s="5" t="s">
        <v>458</v>
      </c>
      <c r="AL42" s="5" t="s">
        <v>458</v>
      </c>
      <c r="AM42" s="5" t="s">
        <v>458</v>
      </c>
      <c r="AN42" s="5" t="s">
        <v>458</v>
      </c>
      <c r="AO42" s="5" t="s">
        <v>458</v>
      </c>
      <c r="AP42" s="5" t="s">
        <v>458</v>
      </c>
      <c r="AQ42" s="5" t="s">
        <v>458</v>
      </c>
      <c r="AR42" s="5" t="s">
        <v>458</v>
      </c>
      <c r="AS42" s="5" t="s">
        <v>458</v>
      </c>
      <c r="AT42" s="5" t="s">
        <v>458</v>
      </c>
      <c r="AU42" s="5" t="s">
        <v>458</v>
      </c>
      <c r="AV42" s="5" t="s">
        <v>458</v>
      </c>
      <c r="AW42" s="5" t="s">
        <v>458</v>
      </c>
      <c r="AX42" s="5" t="s">
        <v>458</v>
      </c>
      <c r="AY42" s="5" t="s">
        <v>458</v>
      </c>
      <c r="AZ42" s="5" t="s">
        <v>458</v>
      </c>
      <c r="BA42" s="5" t="s">
        <v>458</v>
      </c>
      <c r="BB42" s="5" t="s">
        <v>458</v>
      </c>
      <c r="BC42" s="5" t="s">
        <v>458</v>
      </c>
      <c r="BD42" s="5" t="s">
        <v>458</v>
      </c>
    </row>
    <row r="43" spans="1:56" x14ac:dyDescent="0.2">
      <c r="A43" s="52">
        <v>5</v>
      </c>
      <c r="B43" s="41">
        <v>40</v>
      </c>
      <c r="C43" s="41" t="s">
        <v>45</v>
      </c>
      <c r="D43" s="5">
        <v>7</v>
      </c>
      <c r="E43" s="5">
        <v>14</v>
      </c>
      <c r="F43" s="5">
        <v>21</v>
      </c>
      <c r="G43" s="5">
        <v>28</v>
      </c>
      <c r="H43" s="5" t="s">
        <v>458</v>
      </c>
      <c r="I43" s="5" t="s">
        <v>458</v>
      </c>
      <c r="J43" s="5" t="s">
        <v>458</v>
      </c>
      <c r="K43" s="5" t="s">
        <v>458</v>
      </c>
      <c r="L43" s="5" t="s">
        <v>458</v>
      </c>
      <c r="M43" s="5" t="s">
        <v>458</v>
      </c>
      <c r="N43" s="5" t="s">
        <v>458</v>
      </c>
      <c r="O43" s="5" t="s">
        <v>458</v>
      </c>
      <c r="P43" s="5" t="s">
        <v>458</v>
      </c>
      <c r="Q43" s="5" t="s">
        <v>458</v>
      </c>
      <c r="R43" s="5" t="s">
        <v>458</v>
      </c>
      <c r="S43" s="5" t="s">
        <v>458</v>
      </c>
      <c r="T43" s="5" t="s">
        <v>458</v>
      </c>
      <c r="U43" s="5" t="s">
        <v>458</v>
      </c>
      <c r="V43" s="5" t="s">
        <v>458</v>
      </c>
      <c r="W43" s="5" t="s">
        <v>458</v>
      </c>
      <c r="X43" s="5" t="s">
        <v>458</v>
      </c>
      <c r="Y43" s="5" t="s">
        <v>458</v>
      </c>
      <c r="Z43" s="5" t="s">
        <v>458</v>
      </c>
      <c r="AA43" s="5" t="s">
        <v>458</v>
      </c>
      <c r="AB43" s="5" t="s">
        <v>458</v>
      </c>
      <c r="AC43" s="5" t="s">
        <v>458</v>
      </c>
      <c r="AD43" s="5" t="s">
        <v>458</v>
      </c>
      <c r="AE43" s="5" t="s">
        <v>458</v>
      </c>
      <c r="AF43" s="5" t="s">
        <v>458</v>
      </c>
      <c r="AG43" s="5" t="s">
        <v>458</v>
      </c>
      <c r="AH43" s="5" t="s">
        <v>458</v>
      </c>
      <c r="AI43" s="5" t="s">
        <v>458</v>
      </c>
      <c r="AJ43" s="5" t="s">
        <v>458</v>
      </c>
      <c r="AK43" s="5" t="s">
        <v>458</v>
      </c>
      <c r="AL43" s="5" t="s">
        <v>458</v>
      </c>
      <c r="AM43" s="5" t="s">
        <v>458</v>
      </c>
      <c r="AN43" s="5" t="s">
        <v>458</v>
      </c>
      <c r="AO43" s="5" t="s">
        <v>458</v>
      </c>
      <c r="AP43" s="5" t="s">
        <v>458</v>
      </c>
      <c r="AQ43" s="5" t="s">
        <v>458</v>
      </c>
      <c r="AR43" s="5" t="s">
        <v>458</v>
      </c>
      <c r="AS43" s="5" t="s">
        <v>458</v>
      </c>
      <c r="AT43" s="5" t="s">
        <v>458</v>
      </c>
      <c r="AU43" s="5" t="s">
        <v>458</v>
      </c>
      <c r="AV43" s="5" t="s">
        <v>458</v>
      </c>
      <c r="AW43" s="5" t="s">
        <v>458</v>
      </c>
      <c r="AX43" s="5" t="s">
        <v>458</v>
      </c>
      <c r="AY43" s="5" t="s">
        <v>458</v>
      </c>
      <c r="AZ43" s="5" t="s">
        <v>458</v>
      </c>
      <c r="BA43" s="5" t="s">
        <v>458</v>
      </c>
      <c r="BB43" s="5" t="s">
        <v>458</v>
      </c>
      <c r="BC43" s="5" t="s">
        <v>458</v>
      </c>
      <c r="BD43" s="5" t="s">
        <v>458</v>
      </c>
    </row>
    <row r="44" spans="1:56" x14ac:dyDescent="0.2">
      <c r="A44" s="52">
        <v>5</v>
      </c>
      <c r="B44" s="41">
        <v>41</v>
      </c>
      <c r="C44" s="41" t="s">
        <v>162</v>
      </c>
      <c r="D44" s="5">
        <v>7</v>
      </c>
      <c r="E44" s="5">
        <v>14</v>
      </c>
      <c r="F44" s="5">
        <v>21</v>
      </c>
      <c r="G44" s="5">
        <v>28</v>
      </c>
      <c r="H44" s="5" t="s">
        <v>458</v>
      </c>
      <c r="I44" s="5" t="s">
        <v>458</v>
      </c>
      <c r="J44" s="5" t="s">
        <v>458</v>
      </c>
      <c r="K44" s="5" t="s">
        <v>458</v>
      </c>
      <c r="L44" s="5" t="s">
        <v>458</v>
      </c>
      <c r="M44" s="5" t="s">
        <v>458</v>
      </c>
      <c r="N44" s="5" t="s">
        <v>458</v>
      </c>
      <c r="O44" s="5" t="s">
        <v>458</v>
      </c>
      <c r="P44" s="5" t="s">
        <v>458</v>
      </c>
      <c r="Q44" s="5" t="s">
        <v>458</v>
      </c>
      <c r="R44" s="5" t="s">
        <v>458</v>
      </c>
      <c r="S44" s="5" t="s">
        <v>458</v>
      </c>
      <c r="T44" s="5" t="s">
        <v>458</v>
      </c>
      <c r="U44" s="5" t="s">
        <v>458</v>
      </c>
      <c r="V44" s="5" t="s">
        <v>458</v>
      </c>
      <c r="W44" s="5" t="s">
        <v>458</v>
      </c>
      <c r="X44" s="5" t="s">
        <v>458</v>
      </c>
      <c r="Y44" s="5" t="s">
        <v>458</v>
      </c>
      <c r="Z44" s="5" t="s">
        <v>458</v>
      </c>
      <c r="AA44" s="5" t="s">
        <v>458</v>
      </c>
      <c r="AB44" s="5" t="s">
        <v>458</v>
      </c>
      <c r="AC44" s="5" t="s">
        <v>458</v>
      </c>
      <c r="AD44" s="5" t="s">
        <v>458</v>
      </c>
      <c r="AE44" s="5" t="s">
        <v>458</v>
      </c>
      <c r="AF44" s="5" t="s">
        <v>458</v>
      </c>
      <c r="AG44" s="5" t="s">
        <v>458</v>
      </c>
      <c r="AH44" s="5" t="s">
        <v>458</v>
      </c>
      <c r="AI44" s="5" t="s">
        <v>458</v>
      </c>
      <c r="AJ44" s="5" t="s">
        <v>458</v>
      </c>
      <c r="AK44" s="5" t="s">
        <v>458</v>
      </c>
      <c r="AL44" s="5" t="s">
        <v>458</v>
      </c>
      <c r="AM44" s="5" t="s">
        <v>458</v>
      </c>
      <c r="AN44" s="5" t="s">
        <v>458</v>
      </c>
      <c r="AO44" s="5" t="s">
        <v>458</v>
      </c>
      <c r="AP44" s="5" t="s">
        <v>458</v>
      </c>
      <c r="AQ44" s="5" t="s">
        <v>458</v>
      </c>
      <c r="AR44" s="5" t="s">
        <v>458</v>
      </c>
      <c r="AS44" s="5" t="s">
        <v>458</v>
      </c>
      <c r="AT44" s="5" t="s">
        <v>458</v>
      </c>
      <c r="AU44" s="5" t="s">
        <v>458</v>
      </c>
      <c r="AV44" s="5" t="s">
        <v>458</v>
      </c>
      <c r="AW44" s="5" t="s">
        <v>458</v>
      </c>
      <c r="AX44" s="5" t="s">
        <v>458</v>
      </c>
      <c r="AY44" s="5" t="s">
        <v>458</v>
      </c>
      <c r="AZ44" s="5" t="s">
        <v>458</v>
      </c>
      <c r="BA44" s="5" t="s">
        <v>458</v>
      </c>
      <c r="BB44" s="5" t="s">
        <v>458</v>
      </c>
      <c r="BC44" s="5" t="s">
        <v>458</v>
      </c>
      <c r="BD44" s="5" t="s">
        <v>458</v>
      </c>
    </row>
    <row r="45" spans="1:56" x14ac:dyDescent="0.2">
      <c r="A45" s="52">
        <v>5</v>
      </c>
      <c r="B45" s="41">
        <v>42</v>
      </c>
      <c r="C45" s="41" t="s">
        <v>46</v>
      </c>
      <c r="D45" s="5">
        <v>7</v>
      </c>
      <c r="E45" s="5">
        <v>14</v>
      </c>
      <c r="F45" s="5">
        <v>21</v>
      </c>
      <c r="G45" s="5">
        <v>28</v>
      </c>
      <c r="H45" s="5" t="s">
        <v>458</v>
      </c>
      <c r="I45" s="5" t="s">
        <v>458</v>
      </c>
      <c r="J45" s="5" t="s">
        <v>458</v>
      </c>
      <c r="K45" s="5" t="s">
        <v>458</v>
      </c>
      <c r="L45" s="5" t="s">
        <v>458</v>
      </c>
      <c r="M45" s="5" t="s">
        <v>458</v>
      </c>
      <c r="N45" s="5" t="s">
        <v>458</v>
      </c>
      <c r="O45" s="5" t="s">
        <v>458</v>
      </c>
      <c r="P45" s="5" t="s">
        <v>458</v>
      </c>
      <c r="Q45" s="5" t="s">
        <v>458</v>
      </c>
      <c r="R45" s="5" t="s">
        <v>458</v>
      </c>
      <c r="S45" s="5" t="s">
        <v>458</v>
      </c>
      <c r="T45" s="5" t="s">
        <v>458</v>
      </c>
      <c r="U45" s="5" t="s">
        <v>458</v>
      </c>
      <c r="V45" s="5" t="s">
        <v>458</v>
      </c>
      <c r="W45" s="5" t="s">
        <v>458</v>
      </c>
      <c r="X45" s="5" t="s">
        <v>458</v>
      </c>
      <c r="Y45" s="5" t="s">
        <v>458</v>
      </c>
      <c r="Z45" s="5" t="s">
        <v>458</v>
      </c>
      <c r="AA45" s="5" t="s">
        <v>458</v>
      </c>
      <c r="AB45" s="5" t="s">
        <v>458</v>
      </c>
      <c r="AC45" s="5" t="s">
        <v>458</v>
      </c>
      <c r="AD45" s="5" t="s">
        <v>458</v>
      </c>
      <c r="AE45" s="5" t="s">
        <v>458</v>
      </c>
      <c r="AF45" s="5" t="s">
        <v>458</v>
      </c>
      <c r="AG45" s="5" t="s">
        <v>458</v>
      </c>
      <c r="AH45" s="5" t="s">
        <v>458</v>
      </c>
      <c r="AI45" s="5" t="s">
        <v>458</v>
      </c>
      <c r="AJ45" s="5" t="s">
        <v>458</v>
      </c>
      <c r="AK45" s="5" t="s">
        <v>458</v>
      </c>
      <c r="AL45" s="5" t="s">
        <v>458</v>
      </c>
      <c r="AM45" s="5" t="s">
        <v>458</v>
      </c>
      <c r="AN45" s="5" t="s">
        <v>458</v>
      </c>
      <c r="AO45" s="5" t="s">
        <v>458</v>
      </c>
      <c r="AP45" s="5" t="s">
        <v>458</v>
      </c>
      <c r="AQ45" s="5" t="s">
        <v>458</v>
      </c>
      <c r="AR45" s="5" t="s">
        <v>458</v>
      </c>
      <c r="AS45" s="5" t="s">
        <v>458</v>
      </c>
      <c r="AT45" s="5" t="s">
        <v>458</v>
      </c>
      <c r="AU45" s="5" t="s">
        <v>458</v>
      </c>
      <c r="AV45" s="5" t="s">
        <v>458</v>
      </c>
      <c r="AW45" s="5" t="s">
        <v>458</v>
      </c>
      <c r="AX45" s="5" t="s">
        <v>458</v>
      </c>
      <c r="AY45" s="5" t="s">
        <v>458</v>
      </c>
      <c r="AZ45" s="5" t="s">
        <v>458</v>
      </c>
      <c r="BA45" s="5" t="s">
        <v>458</v>
      </c>
      <c r="BB45" s="5" t="s">
        <v>458</v>
      </c>
      <c r="BC45" s="5" t="s">
        <v>458</v>
      </c>
      <c r="BD45" s="5" t="s">
        <v>458</v>
      </c>
    </row>
    <row r="46" spans="1:56" x14ac:dyDescent="0.2">
      <c r="A46" s="52">
        <v>5</v>
      </c>
      <c r="B46" s="41">
        <v>43</v>
      </c>
      <c r="C46" s="41" t="s">
        <v>46</v>
      </c>
      <c r="D46" s="5">
        <v>7</v>
      </c>
      <c r="E46" s="5">
        <v>14</v>
      </c>
      <c r="F46" s="5">
        <v>21</v>
      </c>
      <c r="G46" s="5">
        <v>28</v>
      </c>
      <c r="H46" s="5" t="s">
        <v>458</v>
      </c>
      <c r="I46" s="5" t="s">
        <v>458</v>
      </c>
      <c r="J46" s="5" t="s">
        <v>458</v>
      </c>
      <c r="K46" s="5" t="s">
        <v>458</v>
      </c>
      <c r="L46" s="5" t="s">
        <v>458</v>
      </c>
      <c r="M46" s="5" t="s">
        <v>458</v>
      </c>
      <c r="N46" s="5" t="s">
        <v>458</v>
      </c>
      <c r="O46" s="5" t="s">
        <v>458</v>
      </c>
      <c r="P46" s="5" t="s">
        <v>458</v>
      </c>
      <c r="Q46" s="5" t="s">
        <v>458</v>
      </c>
      <c r="R46" s="5" t="s">
        <v>458</v>
      </c>
      <c r="S46" s="5" t="s">
        <v>458</v>
      </c>
      <c r="T46" s="5" t="s">
        <v>458</v>
      </c>
      <c r="U46" s="5" t="s">
        <v>458</v>
      </c>
      <c r="V46" s="5" t="s">
        <v>458</v>
      </c>
      <c r="W46" s="5" t="s">
        <v>458</v>
      </c>
      <c r="X46" s="5" t="s">
        <v>458</v>
      </c>
      <c r="Y46" s="5" t="s">
        <v>458</v>
      </c>
      <c r="Z46" s="5" t="s">
        <v>458</v>
      </c>
      <c r="AA46" s="5" t="s">
        <v>458</v>
      </c>
      <c r="AB46" s="5" t="s">
        <v>458</v>
      </c>
      <c r="AC46" s="5" t="s">
        <v>458</v>
      </c>
      <c r="AD46" s="5" t="s">
        <v>458</v>
      </c>
      <c r="AE46" s="5" t="s">
        <v>458</v>
      </c>
      <c r="AF46" s="5" t="s">
        <v>458</v>
      </c>
      <c r="AG46" s="5" t="s">
        <v>458</v>
      </c>
      <c r="AH46" s="5" t="s">
        <v>458</v>
      </c>
      <c r="AI46" s="5" t="s">
        <v>458</v>
      </c>
      <c r="AJ46" s="5" t="s">
        <v>458</v>
      </c>
      <c r="AK46" s="5" t="s">
        <v>458</v>
      </c>
      <c r="AL46" s="5" t="s">
        <v>458</v>
      </c>
      <c r="AM46" s="5" t="s">
        <v>458</v>
      </c>
      <c r="AN46" s="5" t="s">
        <v>458</v>
      </c>
      <c r="AO46" s="5" t="s">
        <v>458</v>
      </c>
      <c r="AP46" s="5" t="s">
        <v>458</v>
      </c>
      <c r="AQ46" s="5" t="s">
        <v>458</v>
      </c>
      <c r="AR46" s="5" t="s">
        <v>458</v>
      </c>
      <c r="AS46" s="5" t="s">
        <v>458</v>
      </c>
      <c r="AT46" s="5" t="s">
        <v>458</v>
      </c>
      <c r="AU46" s="5" t="s">
        <v>458</v>
      </c>
      <c r="AV46" s="5" t="s">
        <v>458</v>
      </c>
      <c r="AW46" s="5" t="s">
        <v>458</v>
      </c>
      <c r="AX46" s="5" t="s">
        <v>458</v>
      </c>
      <c r="AY46" s="5" t="s">
        <v>458</v>
      </c>
      <c r="AZ46" s="5" t="s">
        <v>458</v>
      </c>
      <c r="BA46" s="5" t="s">
        <v>458</v>
      </c>
      <c r="BB46" s="5" t="s">
        <v>458</v>
      </c>
      <c r="BC46" s="5" t="s">
        <v>458</v>
      </c>
      <c r="BD46" s="5" t="s">
        <v>458</v>
      </c>
    </row>
    <row r="47" spans="1:56" x14ac:dyDescent="0.2">
      <c r="A47" s="52">
        <v>5</v>
      </c>
      <c r="B47" s="41">
        <v>44</v>
      </c>
      <c r="C47" s="41" t="s">
        <v>46</v>
      </c>
      <c r="D47" s="5">
        <v>7</v>
      </c>
      <c r="E47" s="5">
        <v>14</v>
      </c>
      <c r="F47" s="5">
        <v>21</v>
      </c>
      <c r="G47" s="5">
        <v>28</v>
      </c>
      <c r="H47" s="5" t="s">
        <v>458</v>
      </c>
      <c r="I47" s="5" t="s">
        <v>458</v>
      </c>
      <c r="J47" s="5" t="s">
        <v>458</v>
      </c>
      <c r="K47" s="5" t="s">
        <v>458</v>
      </c>
      <c r="L47" s="5" t="s">
        <v>458</v>
      </c>
      <c r="M47" s="5" t="s">
        <v>458</v>
      </c>
      <c r="N47" s="5" t="s">
        <v>458</v>
      </c>
      <c r="O47" s="5" t="s">
        <v>458</v>
      </c>
      <c r="P47" s="5" t="s">
        <v>458</v>
      </c>
      <c r="Q47" s="5" t="s">
        <v>458</v>
      </c>
      <c r="R47" s="5" t="s">
        <v>458</v>
      </c>
      <c r="S47" s="5" t="s">
        <v>458</v>
      </c>
      <c r="T47" s="5" t="s">
        <v>458</v>
      </c>
      <c r="U47" s="5" t="s">
        <v>458</v>
      </c>
      <c r="V47" s="5" t="s">
        <v>458</v>
      </c>
      <c r="W47" s="5" t="s">
        <v>458</v>
      </c>
      <c r="X47" s="5" t="s">
        <v>458</v>
      </c>
      <c r="Y47" s="5" t="s">
        <v>458</v>
      </c>
      <c r="Z47" s="5" t="s">
        <v>458</v>
      </c>
      <c r="AA47" s="5" t="s">
        <v>458</v>
      </c>
      <c r="AB47" s="5" t="s">
        <v>458</v>
      </c>
      <c r="AC47" s="5" t="s">
        <v>458</v>
      </c>
      <c r="AD47" s="5" t="s">
        <v>458</v>
      </c>
      <c r="AE47" s="5" t="s">
        <v>458</v>
      </c>
      <c r="AF47" s="5" t="s">
        <v>458</v>
      </c>
      <c r="AG47" s="5" t="s">
        <v>458</v>
      </c>
      <c r="AH47" s="5" t="s">
        <v>458</v>
      </c>
      <c r="AI47" s="5" t="s">
        <v>458</v>
      </c>
      <c r="AJ47" s="5" t="s">
        <v>458</v>
      </c>
      <c r="AK47" s="5" t="s">
        <v>458</v>
      </c>
      <c r="AL47" s="5" t="s">
        <v>458</v>
      </c>
      <c r="AM47" s="5" t="s">
        <v>458</v>
      </c>
      <c r="AN47" s="5" t="s">
        <v>458</v>
      </c>
      <c r="AO47" s="5" t="s">
        <v>458</v>
      </c>
      <c r="AP47" s="5" t="s">
        <v>458</v>
      </c>
      <c r="AQ47" s="5" t="s">
        <v>458</v>
      </c>
      <c r="AR47" s="5" t="s">
        <v>458</v>
      </c>
      <c r="AS47" s="5" t="s">
        <v>458</v>
      </c>
      <c r="AT47" s="5" t="s">
        <v>458</v>
      </c>
      <c r="AU47" s="5" t="s">
        <v>458</v>
      </c>
      <c r="AV47" s="5" t="s">
        <v>458</v>
      </c>
      <c r="AW47" s="5" t="s">
        <v>458</v>
      </c>
      <c r="AX47" s="5" t="s">
        <v>458</v>
      </c>
      <c r="AY47" s="5" t="s">
        <v>458</v>
      </c>
      <c r="AZ47" s="5" t="s">
        <v>458</v>
      </c>
      <c r="BA47" s="5" t="s">
        <v>458</v>
      </c>
      <c r="BB47" s="5" t="s">
        <v>458</v>
      </c>
      <c r="BC47" s="5" t="s">
        <v>458</v>
      </c>
      <c r="BD47" s="5" t="s">
        <v>458</v>
      </c>
    </row>
    <row r="48" spans="1:56" x14ac:dyDescent="0.2">
      <c r="A48" s="52">
        <v>5</v>
      </c>
      <c r="B48" s="41">
        <v>45</v>
      </c>
      <c r="C48" s="41" t="s">
        <v>46</v>
      </c>
      <c r="D48" s="5">
        <v>7</v>
      </c>
      <c r="E48" s="5">
        <v>14</v>
      </c>
      <c r="F48" s="5">
        <v>21</v>
      </c>
      <c r="G48" s="5">
        <v>28</v>
      </c>
      <c r="H48" s="5" t="s">
        <v>458</v>
      </c>
      <c r="I48" s="5" t="s">
        <v>458</v>
      </c>
      <c r="J48" s="5" t="s">
        <v>458</v>
      </c>
      <c r="K48" s="5" t="s">
        <v>458</v>
      </c>
      <c r="L48" s="5" t="s">
        <v>458</v>
      </c>
      <c r="M48" s="5" t="s">
        <v>458</v>
      </c>
      <c r="N48" s="5" t="s">
        <v>458</v>
      </c>
      <c r="O48" s="5" t="s">
        <v>458</v>
      </c>
      <c r="P48" s="5" t="s">
        <v>458</v>
      </c>
      <c r="Q48" s="5" t="s">
        <v>458</v>
      </c>
      <c r="R48" s="5" t="s">
        <v>458</v>
      </c>
      <c r="S48" s="5" t="s">
        <v>458</v>
      </c>
      <c r="T48" s="5" t="s">
        <v>458</v>
      </c>
      <c r="U48" s="5" t="s">
        <v>458</v>
      </c>
      <c r="V48" s="5" t="s">
        <v>458</v>
      </c>
      <c r="W48" s="5" t="s">
        <v>458</v>
      </c>
      <c r="X48" s="5" t="s">
        <v>458</v>
      </c>
      <c r="Y48" s="5" t="s">
        <v>458</v>
      </c>
      <c r="Z48" s="5" t="s">
        <v>458</v>
      </c>
      <c r="AA48" s="5" t="s">
        <v>458</v>
      </c>
      <c r="AB48" s="5" t="s">
        <v>458</v>
      </c>
      <c r="AC48" s="5" t="s">
        <v>458</v>
      </c>
      <c r="AD48" s="5" t="s">
        <v>458</v>
      </c>
      <c r="AE48" s="5" t="s">
        <v>458</v>
      </c>
      <c r="AF48" s="5" t="s">
        <v>458</v>
      </c>
      <c r="AG48" s="5" t="s">
        <v>458</v>
      </c>
      <c r="AH48" s="5" t="s">
        <v>458</v>
      </c>
      <c r="AI48" s="5" t="s">
        <v>458</v>
      </c>
      <c r="AJ48" s="5" t="s">
        <v>458</v>
      </c>
      <c r="AK48" s="5" t="s">
        <v>458</v>
      </c>
      <c r="AL48" s="5" t="s">
        <v>458</v>
      </c>
      <c r="AM48" s="5" t="s">
        <v>458</v>
      </c>
      <c r="AN48" s="5" t="s">
        <v>458</v>
      </c>
      <c r="AO48" s="5" t="s">
        <v>458</v>
      </c>
      <c r="AP48" s="5" t="s">
        <v>458</v>
      </c>
      <c r="AQ48" s="5" t="s">
        <v>458</v>
      </c>
      <c r="AR48" s="5" t="s">
        <v>458</v>
      </c>
      <c r="AS48" s="5" t="s">
        <v>458</v>
      </c>
      <c r="AT48" s="5" t="s">
        <v>458</v>
      </c>
      <c r="AU48" s="5" t="s">
        <v>458</v>
      </c>
      <c r="AV48" s="5" t="s">
        <v>458</v>
      </c>
      <c r="AW48" s="5" t="s">
        <v>458</v>
      </c>
      <c r="AX48" s="5" t="s">
        <v>458</v>
      </c>
      <c r="AY48" s="5" t="s">
        <v>458</v>
      </c>
      <c r="AZ48" s="5" t="s">
        <v>458</v>
      </c>
      <c r="BA48" s="5" t="s">
        <v>458</v>
      </c>
      <c r="BB48" s="5" t="s">
        <v>458</v>
      </c>
      <c r="BC48" s="5" t="s">
        <v>458</v>
      </c>
      <c r="BD48" s="5" t="s">
        <v>458</v>
      </c>
    </row>
    <row r="49" spans="1:56" x14ac:dyDescent="0.2">
      <c r="A49" s="52">
        <v>5</v>
      </c>
      <c r="B49" s="41">
        <v>46</v>
      </c>
      <c r="C49" s="41" t="s">
        <v>46</v>
      </c>
      <c r="D49" s="5">
        <v>7</v>
      </c>
      <c r="E49" s="5">
        <v>14</v>
      </c>
      <c r="F49" s="5">
        <v>21</v>
      </c>
      <c r="G49" s="5">
        <v>28</v>
      </c>
      <c r="H49" s="5" t="s">
        <v>458</v>
      </c>
      <c r="I49" s="5" t="s">
        <v>458</v>
      </c>
      <c r="J49" s="5" t="s">
        <v>458</v>
      </c>
      <c r="K49" s="5" t="s">
        <v>458</v>
      </c>
      <c r="L49" s="5" t="s">
        <v>458</v>
      </c>
      <c r="M49" s="5" t="s">
        <v>458</v>
      </c>
      <c r="N49" s="5" t="s">
        <v>458</v>
      </c>
      <c r="O49" s="5" t="s">
        <v>458</v>
      </c>
      <c r="P49" s="5" t="s">
        <v>458</v>
      </c>
      <c r="Q49" s="5" t="s">
        <v>458</v>
      </c>
      <c r="R49" s="5" t="s">
        <v>458</v>
      </c>
      <c r="S49" s="5" t="s">
        <v>458</v>
      </c>
      <c r="T49" s="5" t="s">
        <v>458</v>
      </c>
      <c r="U49" s="5" t="s">
        <v>458</v>
      </c>
      <c r="V49" s="5" t="s">
        <v>458</v>
      </c>
      <c r="W49" s="5" t="s">
        <v>458</v>
      </c>
      <c r="X49" s="5" t="s">
        <v>458</v>
      </c>
      <c r="Y49" s="5" t="s">
        <v>458</v>
      </c>
      <c r="Z49" s="5" t="s">
        <v>458</v>
      </c>
      <c r="AA49" s="5" t="s">
        <v>458</v>
      </c>
      <c r="AB49" s="5" t="s">
        <v>458</v>
      </c>
      <c r="AC49" s="5" t="s">
        <v>458</v>
      </c>
      <c r="AD49" s="5" t="s">
        <v>458</v>
      </c>
      <c r="AE49" s="5" t="s">
        <v>458</v>
      </c>
      <c r="AF49" s="5" t="s">
        <v>458</v>
      </c>
      <c r="AG49" s="5" t="s">
        <v>458</v>
      </c>
      <c r="AH49" s="5" t="s">
        <v>458</v>
      </c>
      <c r="AI49" s="5" t="s">
        <v>458</v>
      </c>
      <c r="AJ49" s="5" t="s">
        <v>458</v>
      </c>
      <c r="AK49" s="5" t="s">
        <v>458</v>
      </c>
      <c r="AL49" s="5" t="s">
        <v>458</v>
      </c>
      <c r="AM49" s="5" t="s">
        <v>458</v>
      </c>
      <c r="AN49" s="5" t="s">
        <v>458</v>
      </c>
      <c r="AO49" s="5" t="s">
        <v>458</v>
      </c>
      <c r="AP49" s="5" t="s">
        <v>458</v>
      </c>
      <c r="AQ49" s="5" t="s">
        <v>458</v>
      </c>
      <c r="AR49" s="5" t="s">
        <v>458</v>
      </c>
      <c r="AS49" s="5" t="s">
        <v>458</v>
      </c>
      <c r="AT49" s="5" t="s">
        <v>458</v>
      </c>
      <c r="AU49" s="5" t="s">
        <v>458</v>
      </c>
      <c r="AV49" s="5" t="s">
        <v>458</v>
      </c>
      <c r="AW49" s="5" t="s">
        <v>458</v>
      </c>
      <c r="AX49" s="5" t="s">
        <v>458</v>
      </c>
      <c r="AY49" s="5" t="s">
        <v>458</v>
      </c>
      <c r="AZ49" s="5" t="s">
        <v>458</v>
      </c>
      <c r="BA49" s="5" t="s">
        <v>458</v>
      </c>
      <c r="BB49" s="5" t="s">
        <v>458</v>
      </c>
      <c r="BC49" s="5" t="s">
        <v>458</v>
      </c>
      <c r="BD49" s="5" t="s">
        <v>458</v>
      </c>
    </row>
    <row r="50" spans="1:56" x14ac:dyDescent="0.2">
      <c r="A50" s="52">
        <v>5</v>
      </c>
      <c r="B50" s="41">
        <v>47</v>
      </c>
      <c r="C50" s="41" t="s">
        <v>46</v>
      </c>
      <c r="D50" s="5">
        <v>7</v>
      </c>
      <c r="E50" s="5">
        <v>14</v>
      </c>
      <c r="F50" s="5">
        <v>21</v>
      </c>
      <c r="G50" s="5">
        <v>28</v>
      </c>
      <c r="H50" s="5" t="s">
        <v>458</v>
      </c>
      <c r="I50" s="5" t="s">
        <v>458</v>
      </c>
      <c r="J50" s="5" t="s">
        <v>458</v>
      </c>
      <c r="K50" s="5" t="s">
        <v>458</v>
      </c>
      <c r="L50" s="5" t="s">
        <v>458</v>
      </c>
      <c r="M50" s="5" t="s">
        <v>458</v>
      </c>
      <c r="N50" s="5" t="s">
        <v>458</v>
      </c>
      <c r="O50" s="5" t="s">
        <v>458</v>
      </c>
      <c r="P50" s="5" t="s">
        <v>458</v>
      </c>
      <c r="Q50" s="5" t="s">
        <v>458</v>
      </c>
      <c r="R50" s="5" t="s">
        <v>458</v>
      </c>
      <c r="S50" s="5" t="s">
        <v>458</v>
      </c>
      <c r="T50" s="5" t="s">
        <v>458</v>
      </c>
      <c r="U50" s="5" t="s">
        <v>458</v>
      </c>
      <c r="V50" s="5" t="s">
        <v>458</v>
      </c>
      <c r="W50" s="5" t="s">
        <v>458</v>
      </c>
      <c r="X50" s="5" t="s">
        <v>458</v>
      </c>
      <c r="Y50" s="5" t="s">
        <v>458</v>
      </c>
      <c r="Z50" s="5" t="s">
        <v>458</v>
      </c>
      <c r="AA50" s="5" t="s">
        <v>458</v>
      </c>
      <c r="AB50" s="5" t="s">
        <v>458</v>
      </c>
      <c r="AC50" s="5" t="s">
        <v>458</v>
      </c>
      <c r="AD50" s="5" t="s">
        <v>458</v>
      </c>
      <c r="AE50" s="5" t="s">
        <v>458</v>
      </c>
      <c r="AF50" s="5" t="s">
        <v>458</v>
      </c>
      <c r="AG50" s="5" t="s">
        <v>458</v>
      </c>
      <c r="AH50" s="5" t="s">
        <v>458</v>
      </c>
      <c r="AI50" s="5" t="s">
        <v>458</v>
      </c>
      <c r="AJ50" s="5" t="s">
        <v>458</v>
      </c>
      <c r="AK50" s="5" t="s">
        <v>458</v>
      </c>
      <c r="AL50" s="5" t="s">
        <v>458</v>
      </c>
      <c r="AM50" s="5" t="s">
        <v>458</v>
      </c>
      <c r="AN50" s="5" t="s">
        <v>458</v>
      </c>
      <c r="AO50" s="5" t="s">
        <v>458</v>
      </c>
      <c r="AP50" s="5" t="s">
        <v>458</v>
      </c>
      <c r="AQ50" s="5" t="s">
        <v>458</v>
      </c>
      <c r="AR50" s="5" t="s">
        <v>458</v>
      </c>
      <c r="AS50" s="5" t="s">
        <v>458</v>
      </c>
      <c r="AT50" s="5" t="s">
        <v>458</v>
      </c>
      <c r="AU50" s="5" t="s">
        <v>458</v>
      </c>
      <c r="AV50" s="5" t="s">
        <v>458</v>
      </c>
      <c r="AW50" s="5" t="s">
        <v>458</v>
      </c>
      <c r="AX50" s="5" t="s">
        <v>458</v>
      </c>
      <c r="AY50" s="5" t="s">
        <v>458</v>
      </c>
      <c r="AZ50" s="5" t="s">
        <v>458</v>
      </c>
      <c r="BA50" s="5" t="s">
        <v>458</v>
      </c>
      <c r="BB50" s="5" t="s">
        <v>458</v>
      </c>
      <c r="BC50" s="5" t="s">
        <v>458</v>
      </c>
      <c r="BD50" s="5" t="s">
        <v>458</v>
      </c>
    </row>
    <row r="51" spans="1:56" s="19" customFormat="1" x14ac:dyDescent="0.2">
      <c r="A51" s="84">
        <v>5</v>
      </c>
      <c r="B51" s="43">
        <v>48</v>
      </c>
      <c r="C51" s="43" t="s">
        <v>46</v>
      </c>
      <c r="D51" s="19">
        <v>7</v>
      </c>
      <c r="E51" s="19">
        <v>14</v>
      </c>
      <c r="F51" s="19">
        <v>21</v>
      </c>
      <c r="G51" s="19">
        <v>28</v>
      </c>
      <c r="H51" s="19" t="s">
        <v>458</v>
      </c>
      <c r="I51" s="19" t="s">
        <v>458</v>
      </c>
      <c r="J51" s="19" t="s">
        <v>458</v>
      </c>
      <c r="K51" s="19" t="s">
        <v>458</v>
      </c>
      <c r="L51" s="19" t="s">
        <v>458</v>
      </c>
      <c r="M51" s="19" t="s">
        <v>458</v>
      </c>
      <c r="N51" s="19" t="s">
        <v>458</v>
      </c>
      <c r="O51" s="19" t="s">
        <v>458</v>
      </c>
      <c r="P51" s="19" t="s">
        <v>458</v>
      </c>
      <c r="Q51" s="19" t="s">
        <v>458</v>
      </c>
      <c r="R51" s="19" t="s">
        <v>458</v>
      </c>
      <c r="S51" s="19" t="s">
        <v>458</v>
      </c>
      <c r="T51" s="19" t="s">
        <v>458</v>
      </c>
      <c r="U51" s="19" t="s">
        <v>458</v>
      </c>
      <c r="V51" s="19" t="s">
        <v>458</v>
      </c>
      <c r="W51" s="19" t="s">
        <v>458</v>
      </c>
      <c r="X51" s="19" t="s">
        <v>458</v>
      </c>
      <c r="Y51" s="19" t="s">
        <v>458</v>
      </c>
      <c r="Z51" s="19" t="s">
        <v>458</v>
      </c>
      <c r="AA51" s="19" t="s">
        <v>458</v>
      </c>
      <c r="AB51" s="19" t="s">
        <v>458</v>
      </c>
      <c r="AC51" s="19" t="s">
        <v>458</v>
      </c>
      <c r="AD51" s="19" t="s">
        <v>458</v>
      </c>
      <c r="AE51" s="19" t="s">
        <v>458</v>
      </c>
      <c r="AF51" s="19" t="s">
        <v>458</v>
      </c>
      <c r="AG51" s="19" t="s">
        <v>458</v>
      </c>
      <c r="AH51" s="19" t="s">
        <v>458</v>
      </c>
      <c r="AI51" s="19" t="s">
        <v>458</v>
      </c>
      <c r="AJ51" s="19" t="s">
        <v>458</v>
      </c>
      <c r="AK51" s="19" t="s">
        <v>458</v>
      </c>
      <c r="AL51" s="19" t="s">
        <v>458</v>
      </c>
      <c r="AM51" s="19" t="s">
        <v>458</v>
      </c>
      <c r="AN51" s="19" t="s">
        <v>458</v>
      </c>
      <c r="AO51" s="19" t="s">
        <v>458</v>
      </c>
      <c r="AP51" s="19" t="s">
        <v>458</v>
      </c>
      <c r="AQ51" s="19" t="s">
        <v>458</v>
      </c>
      <c r="AR51" s="19" t="s">
        <v>458</v>
      </c>
      <c r="AS51" s="19" t="s">
        <v>458</v>
      </c>
      <c r="AT51" s="19" t="s">
        <v>458</v>
      </c>
      <c r="AU51" s="19" t="s">
        <v>458</v>
      </c>
      <c r="AV51" s="19" t="s">
        <v>458</v>
      </c>
      <c r="AW51" s="19" t="s">
        <v>458</v>
      </c>
      <c r="AX51" s="19" t="s">
        <v>458</v>
      </c>
      <c r="AY51" s="19" t="s">
        <v>458</v>
      </c>
      <c r="AZ51" s="19" t="s">
        <v>458</v>
      </c>
      <c r="BA51" s="19" t="s">
        <v>458</v>
      </c>
      <c r="BB51" s="19" t="s">
        <v>458</v>
      </c>
      <c r="BC51" s="19" t="s">
        <v>458</v>
      </c>
      <c r="BD51" s="19" t="s">
        <v>458</v>
      </c>
    </row>
    <row r="52" spans="1:56" x14ac:dyDescent="0.2">
      <c r="A52" s="317">
        <v>6</v>
      </c>
      <c r="B52" s="318">
        <v>5</v>
      </c>
      <c r="C52" s="318" t="s">
        <v>49</v>
      </c>
      <c r="D52" s="5">
        <v>29.943899999999999</v>
      </c>
      <c r="E52" s="5">
        <v>58.542000000000002</v>
      </c>
      <c r="F52" s="5">
        <v>103.96259999999999</v>
      </c>
      <c r="G52" s="5">
        <v>176.63550000000001</v>
      </c>
      <c r="H52" s="5">
        <v>354.28050000000002</v>
      </c>
      <c r="I52" s="5" t="s">
        <v>458</v>
      </c>
      <c r="J52" s="5" t="s">
        <v>458</v>
      </c>
      <c r="K52" s="5" t="s">
        <v>458</v>
      </c>
      <c r="L52" s="5" t="s">
        <v>458</v>
      </c>
      <c r="M52" s="5" t="s">
        <v>458</v>
      </c>
      <c r="N52" s="5" t="s">
        <v>458</v>
      </c>
      <c r="O52" s="5" t="s">
        <v>458</v>
      </c>
      <c r="P52" s="5" t="s">
        <v>458</v>
      </c>
      <c r="Q52" s="5" t="s">
        <v>458</v>
      </c>
      <c r="R52" s="5" t="s">
        <v>458</v>
      </c>
      <c r="S52" s="5" t="s">
        <v>458</v>
      </c>
      <c r="T52" s="5" t="s">
        <v>458</v>
      </c>
      <c r="U52" s="5" t="s">
        <v>458</v>
      </c>
      <c r="V52" s="5" t="s">
        <v>458</v>
      </c>
      <c r="W52" s="5" t="s">
        <v>458</v>
      </c>
      <c r="X52" s="5" t="s">
        <v>458</v>
      </c>
      <c r="Y52" s="5" t="s">
        <v>458</v>
      </c>
      <c r="Z52" s="5" t="s">
        <v>458</v>
      </c>
      <c r="AA52" s="5" t="s">
        <v>458</v>
      </c>
      <c r="AB52" s="5" t="s">
        <v>458</v>
      </c>
      <c r="AC52" s="5" t="s">
        <v>458</v>
      </c>
      <c r="AD52" s="5" t="s">
        <v>458</v>
      </c>
      <c r="AE52" s="5" t="s">
        <v>458</v>
      </c>
      <c r="AF52" s="5" t="s">
        <v>458</v>
      </c>
      <c r="AG52" s="5" t="s">
        <v>458</v>
      </c>
      <c r="AH52" s="5" t="s">
        <v>458</v>
      </c>
      <c r="AI52" s="5" t="s">
        <v>458</v>
      </c>
      <c r="AJ52" s="5" t="s">
        <v>458</v>
      </c>
      <c r="AK52" s="5" t="s">
        <v>458</v>
      </c>
      <c r="AL52" s="5" t="s">
        <v>458</v>
      </c>
      <c r="AM52" s="5" t="s">
        <v>458</v>
      </c>
      <c r="AN52" s="5" t="s">
        <v>458</v>
      </c>
      <c r="AO52" s="5" t="s">
        <v>458</v>
      </c>
      <c r="AP52" s="5" t="s">
        <v>458</v>
      </c>
      <c r="AQ52" s="5" t="s">
        <v>458</v>
      </c>
      <c r="AR52" s="5" t="s">
        <v>458</v>
      </c>
      <c r="AS52" s="5" t="s">
        <v>458</v>
      </c>
      <c r="AT52" s="5" t="s">
        <v>458</v>
      </c>
      <c r="AU52" s="5" t="s">
        <v>458</v>
      </c>
      <c r="AV52" s="5" t="s">
        <v>458</v>
      </c>
      <c r="AW52" s="5" t="s">
        <v>458</v>
      </c>
      <c r="AX52" s="5" t="s">
        <v>458</v>
      </c>
      <c r="AY52" s="5" t="s">
        <v>458</v>
      </c>
      <c r="AZ52" s="5" t="s">
        <v>458</v>
      </c>
      <c r="BA52" s="5" t="s">
        <v>458</v>
      </c>
      <c r="BB52" s="5" t="s">
        <v>458</v>
      </c>
      <c r="BC52" s="5" t="s">
        <v>458</v>
      </c>
      <c r="BD52" s="5" t="s">
        <v>458</v>
      </c>
    </row>
    <row r="53" spans="1:56" x14ac:dyDescent="0.2">
      <c r="A53" s="317">
        <v>6</v>
      </c>
      <c r="B53" s="318">
        <v>6</v>
      </c>
      <c r="C53" s="318" t="s">
        <v>48</v>
      </c>
      <c r="D53" s="5">
        <v>29.607600000000001</v>
      </c>
      <c r="E53" s="5">
        <v>58.878599999999999</v>
      </c>
      <c r="F53" s="5">
        <v>103.62629999999999</v>
      </c>
      <c r="G53" s="5">
        <v>177.30840000000001</v>
      </c>
      <c r="H53" s="5">
        <v>354.28050000000002</v>
      </c>
      <c r="I53" s="5" t="s">
        <v>458</v>
      </c>
      <c r="J53" s="5" t="s">
        <v>458</v>
      </c>
      <c r="K53" s="5" t="s">
        <v>458</v>
      </c>
      <c r="L53" s="5" t="s">
        <v>458</v>
      </c>
      <c r="M53" s="5" t="s">
        <v>458</v>
      </c>
      <c r="N53" s="5" t="s">
        <v>458</v>
      </c>
      <c r="O53" s="5" t="s">
        <v>458</v>
      </c>
      <c r="P53" s="5" t="s">
        <v>458</v>
      </c>
      <c r="Q53" s="5" t="s">
        <v>458</v>
      </c>
      <c r="R53" s="5" t="s">
        <v>458</v>
      </c>
      <c r="S53" s="5" t="s">
        <v>458</v>
      </c>
      <c r="T53" s="5" t="s">
        <v>458</v>
      </c>
      <c r="U53" s="5" t="s">
        <v>458</v>
      </c>
      <c r="V53" s="5" t="s">
        <v>458</v>
      </c>
      <c r="W53" s="5" t="s">
        <v>458</v>
      </c>
      <c r="X53" s="5" t="s">
        <v>458</v>
      </c>
      <c r="Y53" s="5" t="s">
        <v>458</v>
      </c>
      <c r="Z53" s="5" t="s">
        <v>458</v>
      </c>
      <c r="AA53" s="5" t="s">
        <v>458</v>
      </c>
      <c r="AB53" s="5" t="s">
        <v>458</v>
      </c>
      <c r="AC53" s="5" t="s">
        <v>458</v>
      </c>
      <c r="AD53" s="5" t="s">
        <v>458</v>
      </c>
      <c r="AE53" s="5" t="s">
        <v>458</v>
      </c>
      <c r="AF53" s="5" t="s">
        <v>458</v>
      </c>
      <c r="AG53" s="5" t="s">
        <v>458</v>
      </c>
      <c r="AH53" s="5" t="s">
        <v>458</v>
      </c>
      <c r="AI53" s="5" t="s">
        <v>458</v>
      </c>
      <c r="AJ53" s="5" t="s">
        <v>458</v>
      </c>
      <c r="AK53" s="5" t="s">
        <v>458</v>
      </c>
      <c r="AL53" s="5" t="s">
        <v>458</v>
      </c>
      <c r="AM53" s="5" t="s">
        <v>458</v>
      </c>
      <c r="AN53" s="5" t="s">
        <v>458</v>
      </c>
      <c r="AO53" s="5" t="s">
        <v>458</v>
      </c>
      <c r="AP53" s="5" t="s">
        <v>458</v>
      </c>
      <c r="AQ53" s="5" t="s">
        <v>458</v>
      </c>
      <c r="AR53" s="5" t="s">
        <v>458</v>
      </c>
      <c r="AS53" s="5" t="s">
        <v>458</v>
      </c>
      <c r="AT53" s="5" t="s">
        <v>458</v>
      </c>
      <c r="AU53" s="5" t="s">
        <v>458</v>
      </c>
      <c r="AV53" s="5" t="s">
        <v>458</v>
      </c>
      <c r="AW53" s="5" t="s">
        <v>458</v>
      </c>
      <c r="AX53" s="5" t="s">
        <v>458</v>
      </c>
      <c r="AY53" s="5" t="s">
        <v>458</v>
      </c>
      <c r="AZ53" s="5" t="s">
        <v>458</v>
      </c>
      <c r="BA53" s="5" t="s">
        <v>458</v>
      </c>
      <c r="BB53" s="5" t="s">
        <v>458</v>
      </c>
      <c r="BC53" s="5" t="s">
        <v>458</v>
      </c>
      <c r="BD53" s="5" t="s">
        <v>458</v>
      </c>
    </row>
    <row r="54" spans="1:56" s="19" customFormat="1" x14ac:dyDescent="0.2">
      <c r="A54" s="319">
        <v>6</v>
      </c>
      <c r="B54" s="320">
        <v>7</v>
      </c>
      <c r="C54" s="320" t="s">
        <v>47</v>
      </c>
      <c r="D54" s="19">
        <v>29.607600000000001</v>
      </c>
      <c r="E54" s="19">
        <v>58.2057</v>
      </c>
      <c r="F54" s="19">
        <v>102.95339999999999</v>
      </c>
      <c r="G54" s="19">
        <v>177.64500000000001</v>
      </c>
      <c r="H54" s="19" t="s">
        <v>458</v>
      </c>
      <c r="I54" s="19" t="s">
        <v>458</v>
      </c>
      <c r="J54" s="19" t="s">
        <v>458</v>
      </c>
      <c r="K54" s="19" t="s">
        <v>458</v>
      </c>
      <c r="L54" s="19" t="s">
        <v>458</v>
      </c>
      <c r="M54" s="19" t="s">
        <v>458</v>
      </c>
      <c r="N54" s="19" t="s">
        <v>458</v>
      </c>
      <c r="O54" s="19" t="s">
        <v>458</v>
      </c>
      <c r="P54" s="19" t="s">
        <v>458</v>
      </c>
      <c r="Q54" s="19" t="s">
        <v>458</v>
      </c>
      <c r="R54" s="19" t="s">
        <v>458</v>
      </c>
      <c r="S54" s="19" t="s">
        <v>458</v>
      </c>
      <c r="T54" s="19" t="s">
        <v>458</v>
      </c>
      <c r="U54" s="19" t="s">
        <v>458</v>
      </c>
      <c r="V54" s="19" t="s">
        <v>458</v>
      </c>
      <c r="W54" s="19" t="s">
        <v>458</v>
      </c>
      <c r="X54" s="19" t="s">
        <v>458</v>
      </c>
      <c r="Y54" s="19" t="s">
        <v>458</v>
      </c>
      <c r="Z54" s="19" t="s">
        <v>458</v>
      </c>
      <c r="AA54" s="19" t="s">
        <v>458</v>
      </c>
      <c r="AB54" s="19" t="s">
        <v>458</v>
      </c>
      <c r="AC54" s="19" t="s">
        <v>458</v>
      </c>
      <c r="AD54" s="19" t="s">
        <v>458</v>
      </c>
      <c r="AE54" s="19" t="s">
        <v>458</v>
      </c>
      <c r="AF54" s="19" t="s">
        <v>458</v>
      </c>
      <c r="AG54" s="19" t="s">
        <v>458</v>
      </c>
      <c r="AH54" s="19" t="s">
        <v>458</v>
      </c>
      <c r="AI54" s="19" t="s">
        <v>458</v>
      </c>
      <c r="AJ54" s="19" t="s">
        <v>458</v>
      </c>
      <c r="AK54" s="19" t="s">
        <v>458</v>
      </c>
      <c r="AL54" s="19" t="s">
        <v>458</v>
      </c>
      <c r="AM54" s="19" t="s">
        <v>458</v>
      </c>
      <c r="AN54" s="19" t="s">
        <v>458</v>
      </c>
      <c r="AO54" s="19" t="s">
        <v>458</v>
      </c>
      <c r="AP54" s="19" t="s">
        <v>458</v>
      </c>
      <c r="AQ54" s="19" t="s">
        <v>458</v>
      </c>
      <c r="AR54" s="19" t="s">
        <v>458</v>
      </c>
      <c r="AS54" s="19" t="s">
        <v>458</v>
      </c>
      <c r="AT54" s="19" t="s">
        <v>458</v>
      </c>
      <c r="AU54" s="19" t="s">
        <v>458</v>
      </c>
      <c r="AV54" s="19" t="s">
        <v>458</v>
      </c>
      <c r="AW54" s="19" t="s">
        <v>458</v>
      </c>
      <c r="AX54" s="19" t="s">
        <v>458</v>
      </c>
      <c r="AY54" s="19" t="s">
        <v>458</v>
      </c>
      <c r="AZ54" s="19" t="s">
        <v>458</v>
      </c>
      <c r="BA54" s="19" t="s">
        <v>458</v>
      </c>
      <c r="BB54" s="19" t="s">
        <v>458</v>
      </c>
      <c r="BC54" s="19" t="s">
        <v>458</v>
      </c>
      <c r="BD54" s="19" t="s">
        <v>458</v>
      </c>
    </row>
    <row r="55" spans="1:56" s="316" customFormat="1" x14ac:dyDescent="0.2">
      <c r="A55" s="321">
        <v>8</v>
      </c>
      <c r="B55" s="322">
        <v>1</v>
      </c>
      <c r="C55" s="322" t="s">
        <v>32</v>
      </c>
      <c r="D55" s="316">
        <v>25.521470000000001</v>
      </c>
      <c r="E55" s="316">
        <v>50.061349999999997</v>
      </c>
      <c r="F55" s="316">
        <v>76.073620000000005</v>
      </c>
      <c r="G55" s="316">
        <v>101.59509</v>
      </c>
      <c r="H55" s="316">
        <v>150.18405000000001</v>
      </c>
      <c r="I55" s="316">
        <v>364.17178000000001</v>
      </c>
      <c r="J55" s="316" t="s">
        <v>458</v>
      </c>
      <c r="K55" s="316" t="s">
        <v>458</v>
      </c>
      <c r="L55" s="316" t="s">
        <v>458</v>
      </c>
      <c r="M55" s="316" t="s">
        <v>458</v>
      </c>
      <c r="N55" s="316" t="s">
        <v>458</v>
      </c>
      <c r="O55" s="316" t="s">
        <v>458</v>
      </c>
      <c r="P55" s="316" t="s">
        <v>458</v>
      </c>
      <c r="Q55" s="316" t="s">
        <v>458</v>
      </c>
      <c r="R55" s="316" t="s">
        <v>458</v>
      </c>
      <c r="S55" s="316" t="s">
        <v>458</v>
      </c>
      <c r="T55" s="316" t="s">
        <v>458</v>
      </c>
      <c r="U55" s="316" t="s">
        <v>458</v>
      </c>
      <c r="V55" s="316" t="s">
        <v>458</v>
      </c>
      <c r="W55" s="316" t="s">
        <v>458</v>
      </c>
      <c r="X55" s="316" t="s">
        <v>458</v>
      </c>
      <c r="Y55" s="316" t="s">
        <v>458</v>
      </c>
      <c r="Z55" s="316" t="s">
        <v>458</v>
      </c>
      <c r="AA55" s="316" t="s">
        <v>458</v>
      </c>
      <c r="AB55" s="316" t="s">
        <v>458</v>
      </c>
      <c r="AC55" s="316" t="s">
        <v>458</v>
      </c>
      <c r="AD55" s="316" t="s">
        <v>458</v>
      </c>
      <c r="AE55" s="316" t="s">
        <v>458</v>
      </c>
      <c r="AF55" s="316" t="s">
        <v>458</v>
      </c>
      <c r="AG55" s="316" t="s">
        <v>458</v>
      </c>
      <c r="AH55" s="316" t="s">
        <v>458</v>
      </c>
      <c r="AI55" s="316" t="s">
        <v>458</v>
      </c>
      <c r="AJ55" s="316" t="s">
        <v>458</v>
      </c>
      <c r="AK55" s="316" t="s">
        <v>458</v>
      </c>
      <c r="AL55" s="316" t="s">
        <v>458</v>
      </c>
      <c r="AM55" s="316" t="s">
        <v>458</v>
      </c>
      <c r="AN55" s="316" t="s">
        <v>458</v>
      </c>
      <c r="AO55" s="316" t="s">
        <v>458</v>
      </c>
      <c r="AP55" s="316" t="s">
        <v>458</v>
      </c>
      <c r="AQ55" s="316" t="s">
        <v>458</v>
      </c>
      <c r="AR55" s="316" t="s">
        <v>458</v>
      </c>
      <c r="AS55" s="316" t="s">
        <v>458</v>
      </c>
      <c r="AT55" s="316" t="s">
        <v>458</v>
      </c>
      <c r="AU55" s="316" t="s">
        <v>458</v>
      </c>
      <c r="AV55" s="316" t="s">
        <v>458</v>
      </c>
      <c r="AW55" s="316" t="s">
        <v>458</v>
      </c>
      <c r="AX55" s="316" t="s">
        <v>458</v>
      </c>
      <c r="AY55" s="316" t="s">
        <v>458</v>
      </c>
      <c r="AZ55" s="316" t="s">
        <v>458</v>
      </c>
      <c r="BA55" s="316" t="s">
        <v>458</v>
      </c>
      <c r="BB55" s="316" t="s">
        <v>458</v>
      </c>
      <c r="BC55" s="316" t="s">
        <v>458</v>
      </c>
      <c r="BD55" s="316" t="s">
        <v>458</v>
      </c>
    </row>
    <row r="56" spans="1:56" s="19" customFormat="1" x14ac:dyDescent="0.2">
      <c r="A56" s="319">
        <v>9</v>
      </c>
      <c r="B56" s="320">
        <v>1</v>
      </c>
      <c r="C56" s="320" t="s">
        <v>223</v>
      </c>
      <c r="D56" s="19">
        <v>1.07623</v>
      </c>
      <c r="E56" s="19">
        <v>3.0792199999999998</v>
      </c>
      <c r="F56" s="19">
        <v>4.8729399999999998</v>
      </c>
      <c r="G56" s="19">
        <v>6.9656200000000004</v>
      </c>
      <c r="H56" s="19">
        <v>8.9088200000000004</v>
      </c>
      <c r="I56" s="19">
        <v>11.95815</v>
      </c>
      <c r="J56" s="19">
        <v>14.858000000000001</v>
      </c>
      <c r="K56" s="19">
        <v>20.05979</v>
      </c>
      <c r="L56" s="19" t="s">
        <v>458</v>
      </c>
      <c r="M56" s="19" t="s">
        <v>458</v>
      </c>
      <c r="N56" s="19" t="s">
        <v>458</v>
      </c>
      <c r="O56" s="19" t="s">
        <v>458</v>
      </c>
      <c r="P56" s="19" t="s">
        <v>458</v>
      </c>
      <c r="Q56" s="19" t="s">
        <v>458</v>
      </c>
      <c r="R56" s="19" t="s">
        <v>458</v>
      </c>
      <c r="S56" s="19" t="s">
        <v>458</v>
      </c>
      <c r="T56" s="19" t="s">
        <v>458</v>
      </c>
      <c r="U56" s="19" t="s">
        <v>458</v>
      </c>
      <c r="V56" s="19" t="s">
        <v>458</v>
      </c>
      <c r="W56" s="19" t="s">
        <v>458</v>
      </c>
      <c r="X56" s="19" t="s">
        <v>458</v>
      </c>
      <c r="Y56" s="19" t="s">
        <v>458</v>
      </c>
      <c r="Z56" s="19" t="s">
        <v>458</v>
      </c>
      <c r="AA56" s="19" t="s">
        <v>458</v>
      </c>
      <c r="AB56" s="19" t="s">
        <v>458</v>
      </c>
      <c r="AC56" s="19" t="s">
        <v>458</v>
      </c>
      <c r="AD56" s="19" t="s">
        <v>458</v>
      </c>
      <c r="AE56" s="19" t="s">
        <v>458</v>
      </c>
      <c r="AF56" s="19" t="s">
        <v>458</v>
      </c>
      <c r="AG56" s="19" t="s">
        <v>458</v>
      </c>
      <c r="AH56" s="19" t="s">
        <v>458</v>
      </c>
      <c r="AI56" s="19" t="s">
        <v>458</v>
      </c>
      <c r="AJ56" s="19" t="s">
        <v>458</v>
      </c>
      <c r="AK56" s="19" t="s">
        <v>458</v>
      </c>
      <c r="AL56" s="19" t="s">
        <v>458</v>
      </c>
      <c r="AM56" s="19" t="s">
        <v>458</v>
      </c>
      <c r="AN56" s="19" t="s">
        <v>458</v>
      </c>
      <c r="AO56" s="19" t="s">
        <v>458</v>
      </c>
      <c r="AP56" s="19" t="s">
        <v>458</v>
      </c>
      <c r="AQ56" s="19" t="s">
        <v>458</v>
      </c>
      <c r="AR56" s="19" t="s">
        <v>458</v>
      </c>
      <c r="AS56" s="19" t="s">
        <v>458</v>
      </c>
      <c r="AT56" s="19" t="s">
        <v>458</v>
      </c>
      <c r="AU56" s="19" t="s">
        <v>458</v>
      </c>
      <c r="AV56" s="19" t="s">
        <v>458</v>
      </c>
      <c r="AW56" s="19" t="s">
        <v>458</v>
      </c>
      <c r="AX56" s="19" t="s">
        <v>458</v>
      </c>
      <c r="AY56" s="19" t="s">
        <v>458</v>
      </c>
      <c r="AZ56" s="19" t="s">
        <v>458</v>
      </c>
      <c r="BA56" s="19" t="s">
        <v>458</v>
      </c>
      <c r="BB56" s="19" t="s">
        <v>458</v>
      </c>
      <c r="BC56" s="19" t="s">
        <v>458</v>
      </c>
      <c r="BD56" s="19" t="s">
        <v>458</v>
      </c>
    </row>
    <row r="57" spans="1:56" x14ac:dyDescent="0.2">
      <c r="A57" s="317">
        <v>9</v>
      </c>
      <c r="B57" s="318">
        <v>4</v>
      </c>
      <c r="C57" s="318" t="s">
        <v>226</v>
      </c>
      <c r="D57" s="5">
        <v>1.01644</v>
      </c>
      <c r="E57" s="5">
        <v>2.9297499999999999</v>
      </c>
      <c r="F57" s="5">
        <v>6.99552</v>
      </c>
      <c r="G57" s="5">
        <v>5.0224200000000003</v>
      </c>
      <c r="H57" s="5">
        <v>8.8490300000000008</v>
      </c>
      <c r="I57" s="5">
        <v>11.95815</v>
      </c>
      <c r="J57" s="5">
        <v>14.76831</v>
      </c>
      <c r="K57" s="5">
        <v>19.850519999999999</v>
      </c>
      <c r="L57" s="5" t="s">
        <v>458</v>
      </c>
      <c r="M57" s="5" t="s">
        <v>458</v>
      </c>
      <c r="N57" s="5" t="s">
        <v>458</v>
      </c>
      <c r="O57" s="5" t="s">
        <v>458</v>
      </c>
      <c r="P57" s="5" t="s">
        <v>458</v>
      </c>
      <c r="Q57" s="5" t="s">
        <v>458</v>
      </c>
      <c r="R57" s="5" t="s">
        <v>458</v>
      </c>
      <c r="S57" s="5" t="s">
        <v>458</v>
      </c>
      <c r="T57" s="5" t="s">
        <v>458</v>
      </c>
      <c r="U57" s="5" t="s">
        <v>458</v>
      </c>
      <c r="V57" s="5" t="s">
        <v>458</v>
      </c>
      <c r="W57" s="5" t="s">
        <v>458</v>
      </c>
      <c r="X57" s="5" t="s">
        <v>458</v>
      </c>
      <c r="Y57" s="5" t="s">
        <v>458</v>
      </c>
      <c r="Z57" s="5" t="s">
        <v>458</v>
      </c>
      <c r="AA57" s="5" t="s">
        <v>458</v>
      </c>
      <c r="AB57" s="5" t="s">
        <v>458</v>
      </c>
      <c r="AC57" s="5" t="s">
        <v>458</v>
      </c>
      <c r="AD57" s="5" t="s">
        <v>458</v>
      </c>
      <c r="AE57" s="5" t="s">
        <v>458</v>
      </c>
      <c r="AF57" s="5" t="s">
        <v>458</v>
      </c>
      <c r="AG57" s="5" t="s">
        <v>458</v>
      </c>
      <c r="AH57" s="5" t="s">
        <v>458</v>
      </c>
      <c r="AI57" s="5" t="s">
        <v>458</v>
      </c>
      <c r="AJ57" s="5" t="s">
        <v>458</v>
      </c>
      <c r="AK57" s="5" t="s">
        <v>458</v>
      </c>
      <c r="AL57" s="5" t="s">
        <v>458</v>
      </c>
      <c r="AM57" s="5" t="s">
        <v>458</v>
      </c>
      <c r="AN57" s="5" t="s">
        <v>458</v>
      </c>
      <c r="AO57" s="5" t="s">
        <v>458</v>
      </c>
      <c r="AP57" s="5" t="s">
        <v>458</v>
      </c>
      <c r="AQ57" s="5" t="s">
        <v>458</v>
      </c>
      <c r="AR57" s="5" t="s">
        <v>458</v>
      </c>
      <c r="AS57" s="5" t="s">
        <v>458</v>
      </c>
      <c r="AT57" s="5" t="s">
        <v>458</v>
      </c>
      <c r="AU57" s="5" t="s">
        <v>458</v>
      </c>
      <c r="AV57" s="5" t="s">
        <v>458</v>
      </c>
      <c r="AW57" s="5" t="s">
        <v>458</v>
      </c>
      <c r="AX57" s="5" t="s">
        <v>458</v>
      </c>
      <c r="AY57" s="5" t="s">
        <v>458</v>
      </c>
      <c r="AZ57" s="5" t="s">
        <v>458</v>
      </c>
      <c r="BA57" s="5" t="s">
        <v>458</v>
      </c>
      <c r="BB57" s="5" t="s">
        <v>458</v>
      </c>
      <c r="BC57" s="5" t="s">
        <v>458</v>
      </c>
      <c r="BD57" s="5" t="s">
        <v>458</v>
      </c>
    </row>
    <row r="58" spans="1:56" s="19" customFormat="1" x14ac:dyDescent="0.2">
      <c r="A58" s="319">
        <v>9</v>
      </c>
      <c r="B58" s="320">
        <v>8</v>
      </c>
      <c r="C58" s="320" t="s">
        <v>230</v>
      </c>
      <c r="D58" s="19">
        <v>0.89685999999999999</v>
      </c>
      <c r="E58" s="19">
        <v>2.9895399999999999</v>
      </c>
      <c r="F58" s="19">
        <v>5.1121100000000004</v>
      </c>
      <c r="G58" s="19">
        <v>6.8460400000000003</v>
      </c>
      <c r="H58" s="19">
        <v>8.9387100000000004</v>
      </c>
      <c r="I58" s="19">
        <v>11.98804</v>
      </c>
      <c r="J58" s="19">
        <v>14.858000000000001</v>
      </c>
      <c r="K58" s="19">
        <v>19.820630000000001</v>
      </c>
      <c r="L58" s="19" t="s">
        <v>458</v>
      </c>
      <c r="M58" s="19" t="s">
        <v>458</v>
      </c>
      <c r="N58" s="19" t="s">
        <v>458</v>
      </c>
      <c r="O58" s="19" t="s">
        <v>458</v>
      </c>
      <c r="P58" s="19" t="s">
        <v>458</v>
      </c>
      <c r="Q58" s="19" t="s">
        <v>458</v>
      </c>
      <c r="R58" s="19" t="s">
        <v>458</v>
      </c>
      <c r="S58" s="19" t="s">
        <v>458</v>
      </c>
      <c r="T58" s="19" t="s">
        <v>458</v>
      </c>
      <c r="U58" s="19" t="s">
        <v>458</v>
      </c>
      <c r="V58" s="19" t="s">
        <v>458</v>
      </c>
      <c r="W58" s="19" t="s">
        <v>458</v>
      </c>
      <c r="X58" s="19" t="s">
        <v>458</v>
      </c>
      <c r="Y58" s="19" t="s">
        <v>458</v>
      </c>
      <c r="Z58" s="19" t="s">
        <v>458</v>
      </c>
      <c r="AA58" s="19" t="s">
        <v>458</v>
      </c>
      <c r="AB58" s="19" t="s">
        <v>458</v>
      </c>
      <c r="AC58" s="19" t="s">
        <v>458</v>
      </c>
      <c r="AD58" s="19" t="s">
        <v>458</v>
      </c>
      <c r="AE58" s="19" t="s">
        <v>458</v>
      </c>
      <c r="AF58" s="19" t="s">
        <v>458</v>
      </c>
      <c r="AG58" s="19" t="s">
        <v>458</v>
      </c>
      <c r="AH58" s="19" t="s">
        <v>458</v>
      </c>
      <c r="AI58" s="19" t="s">
        <v>458</v>
      </c>
      <c r="AJ58" s="19" t="s">
        <v>458</v>
      </c>
      <c r="AK58" s="19" t="s">
        <v>458</v>
      </c>
      <c r="AL58" s="19" t="s">
        <v>458</v>
      </c>
      <c r="AM58" s="19" t="s">
        <v>458</v>
      </c>
      <c r="AN58" s="19" t="s">
        <v>458</v>
      </c>
      <c r="AO58" s="19" t="s">
        <v>458</v>
      </c>
      <c r="AP58" s="19" t="s">
        <v>458</v>
      </c>
      <c r="AQ58" s="19" t="s">
        <v>458</v>
      </c>
      <c r="AR58" s="19" t="s">
        <v>458</v>
      </c>
      <c r="AS58" s="19" t="s">
        <v>458</v>
      </c>
      <c r="AT58" s="19" t="s">
        <v>458</v>
      </c>
      <c r="AU58" s="19" t="s">
        <v>458</v>
      </c>
      <c r="AV58" s="19" t="s">
        <v>458</v>
      </c>
      <c r="AW58" s="19" t="s">
        <v>458</v>
      </c>
      <c r="AX58" s="19" t="s">
        <v>458</v>
      </c>
      <c r="AY58" s="19" t="s">
        <v>458</v>
      </c>
      <c r="AZ58" s="19" t="s">
        <v>458</v>
      </c>
      <c r="BA58" s="19" t="s">
        <v>458</v>
      </c>
      <c r="BB58" s="19" t="s">
        <v>458</v>
      </c>
      <c r="BC58" s="19" t="s">
        <v>458</v>
      </c>
      <c r="BD58" s="19" t="s">
        <v>458</v>
      </c>
    </row>
    <row r="59" spans="1:56" x14ac:dyDescent="0.2">
      <c r="A59" s="317">
        <v>10</v>
      </c>
      <c r="B59" s="318">
        <v>8</v>
      </c>
      <c r="C59" s="318" t="s">
        <v>242</v>
      </c>
      <c r="D59" s="5">
        <v>8.0872916666666669E-2</v>
      </c>
      <c r="E59" s="5">
        <v>0.58344041666666668</v>
      </c>
      <c r="F59" s="5">
        <v>1.0917841666666666</v>
      </c>
      <c r="G59" s="5">
        <v>1.5539154166666667</v>
      </c>
      <c r="H59" s="5">
        <v>2.0564825</v>
      </c>
      <c r="I59" s="5">
        <v>2.55905</v>
      </c>
      <c r="J59" s="5">
        <v>3.0385108333333335</v>
      </c>
      <c r="K59" s="5">
        <v>3.5121950000000002</v>
      </c>
      <c r="L59" s="5">
        <v>4.008985833333333</v>
      </c>
      <c r="M59" s="5" t="s">
        <v>458</v>
      </c>
      <c r="N59" s="5" t="s">
        <v>458</v>
      </c>
      <c r="O59" s="5" t="s">
        <v>458</v>
      </c>
      <c r="P59" s="5" t="s">
        <v>458</v>
      </c>
      <c r="Q59" s="5" t="s">
        <v>458</v>
      </c>
      <c r="R59" s="5" t="s">
        <v>458</v>
      </c>
      <c r="S59" s="5" t="s">
        <v>458</v>
      </c>
      <c r="T59" s="5" t="s">
        <v>458</v>
      </c>
      <c r="U59" s="5" t="s">
        <v>458</v>
      </c>
      <c r="V59" s="5" t="s">
        <v>458</v>
      </c>
      <c r="W59" s="5" t="s">
        <v>458</v>
      </c>
      <c r="X59" s="5" t="s">
        <v>458</v>
      </c>
      <c r="Y59" s="5" t="s">
        <v>458</v>
      </c>
      <c r="Z59" s="5" t="s">
        <v>458</v>
      </c>
      <c r="AA59" s="5" t="s">
        <v>458</v>
      </c>
      <c r="AB59" s="5" t="s">
        <v>458</v>
      </c>
      <c r="AC59" s="5" t="s">
        <v>458</v>
      </c>
      <c r="AD59" s="5" t="s">
        <v>458</v>
      </c>
      <c r="AE59" s="5" t="s">
        <v>458</v>
      </c>
      <c r="AF59" s="5" t="s">
        <v>458</v>
      </c>
      <c r="AG59" s="5" t="s">
        <v>458</v>
      </c>
      <c r="AH59" s="5" t="s">
        <v>458</v>
      </c>
      <c r="AI59" s="5" t="s">
        <v>458</v>
      </c>
      <c r="AJ59" s="5" t="s">
        <v>458</v>
      </c>
      <c r="AK59" s="5" t="s">
        <v>458</v>
      </c>
      <c r="AL59" s="5" t="s">
        <v>458</v>
      </c>
      <c r="AM59" s="5" t="s">
        <v>458</v>
      </c>
      <c r="AN59" s="5" t="s">
        <v>458</v>
      </c>
      <c r="AO59" s="5" t="s">
        <v>458</v>
      </c>
      <c r="AP59" s="5" t="s">
        <v>458</v>
      </c>
      <c r="AQ59" s="5" t="s">
        <v>458</v>
      </c>
      <c r="AR59" s="5" t="s">
        <v>458</v>
      </c>
      <c r="AS59" s="5" t="s">
        <v>458</v>
      </c>
      <c r="AT59" s="5" t="s">
        <v>458</v>
      </c>
      <c r="AU59" s="5" t="s">
        <v>458</v>
      </c>
      <c r="AV59" s="5" t="s">
        <v>458</v>
      </c>
      <c r="AW59" s="5" t="s">
        <v>458</v>
      </c>
      <c r="AX59" s="5" t="s">
        <v>458</v>
      </c>
      <c r="AY59" s="5" t="s">
        <v>458</v>
      </c>
      <c r="AZ59" s="5" t="s">
        <v>458</v>
      </c>
      <c r="BA59" s="5" t="s">
        <v>458</v>
      </c>
      <c r="BB59" s="5" t="s">
        <v>458</v>
      </c>
      <c r="BC59" s="5" t="s">
        <v>458</v>
      </c>
      <c r="BD59" s="5" t="s">
        <v>458</v>
      </c>
    </row>
    <row r="60" spans="1:56" ht="16" x14ac:dyDescent="0.2">
      <c r="A60" s="323">
        <v>11</v>
      </c>
      <c r="B60" s="324">
        <v>1</v>
      </c>
      <c r="C60" s="324" t="s">
        <v>29</v>
      </c>
      <c r="D60" s="13">
        <v>60.599899999999998</v>
      </c>
      <c r="E60" s="13">
        <v>120.6</v>
      </c>
      <c r="F60" s="13">
        <v>179.7</v>
      </c>
      <c r="G60" s="13" t="s">
        <v>458</v>
      </c>
      <c r="H60" s="13" t="s">
        <v>458</v>
      </c>
      <c r="I60" s="13" t="s">
        <v>458</v>
      </c>
      <c r="J60" s="13" t="s">
        <v>458</v>
      </c>
      <c r="K60" s="13" t="s">
        <v>458</v>
      </c>
      <c r="L60" s="13" t="s">
        <v>458</v>
      </c>
      <c r="M60" s="5" t="s">
        <v>458</v>
      </c>
      <c r="N60" s="5" t="s">
        <v>458</v>
      </c>
      <c r="O60" s="5" t="s">
        <v>458</v>
      </c>
      <c r="P60" s="5" t="s">
        <v>458</v>
      </c>
      <c r="Q60" s="5" t="s">
        <v>458</v>
      </c>
      <c r="R60" s="5" t="s">
        <v>458</v>
      </c>
      <c r="S60" s="5" t="s">
        <v>458</v>
      </c>
      <c r="T60" s="5" t="s">
        <v>458</v>
      </c>
      <c r="U60" s="5" t="s">
        <v>458</v>
      </c>
      <c r="V60" s="5" t="s">
        <v>458</v>
      </c>
      <c r="W60" s="5" t="s">
        <v>458</v>
      </c>
      <c r="X60" s="5" t="s">
        <v>458</v>
      </c>
      <c r="Y60" s="5" t="s">
        <v>458</v>
      </c>
      <c r="Z60" s="5" t="s">
        <v>458</v>
      </c>
      <c r="AA60" s="5" t="s">
        <v>458</v>
      </c>
      <c r="AB60" s="5" t="s">
        <v>458</v>
      </c>
      <c r="AC60" s="5" t="s">
        <v>458</v>
      </c>
      <c r="AD60" s="5" t="s">
        <v>458</v>
      </c>
      <c r="AE60" s="5" t="s">
        <v>458</v>
      </c>
      <c r="AF60" s="5" t="s">
        <v>458</v>
      </c>
      <c r="AG60" s="5" t="s">
        <v>458</v>
      </c>
      <c r="AH60" s="5" t="s">
        <v>458</v>
      </c>
      <c r="AI60" s="5" t="s">
        <v>458</v>
      </c>
      <c r="AJ60" s="5" t="s">
        <v>458</v>
      </c>
      <c r="AK60" s="5" t="s">
        <v>458</v>
      </c>
      <c r="AL60" s="5" t="s">
        <v>458</v>
      </c>
      <c r="AM60" s="5" t="s">
        <v>458</v>
      </c>
      <c r="AN60" s="5" t="s">
        <v>458</v>
      </c>
      <c r="AO60" s="5" t="s">
        <v>458</v>
      </c>
      <c r="AP60" s="5" t="s">
        <v>458</v>
      </c>
      <c r="AQ60" s="5" t="s">
        <v>458</v>
      </c>
      <c r="AR60" s="5" t="s">
        <v>458</v>
      </c>
      <c r="AS60" s="5" t="s">
        <v>458</v>
      </c>
      <c r="AT60" s="5" t="s">
        <v>458</v>
      </c>
      <c r="AU60" s="5" t="s">
        <v>458</v>
      </c>
      <c r="AV60" s="5" t="s">
        <v>458</v>
      </c>
      <c r="AW60" s="5" t="s">
        <v>458</v>
      </c>
      <c r="AX60" s="5" t="s">
        <v>458</v>
      </c>
      <c r="AY60" s="5" t="s">
        <v>458</v>
      </c>
      <c r="AZ60" s="5" t="s">
        <v>458</v>
      </c>
      <c r="BA60" s="5" t="s">
        <v>458</v>
      </c>
      <c r="BB60" s="5" t="s">
        <v>458</v>
      </c>
      <c r="BC60" s="5" t="s">
        <v>458</v>
      </c>
      <c r="BD60" s="5" t="s">
        <v>458</v>
      </c>
    </row>
    <row r="61" spans="1:56" s="19" customFormat="1" ht="16" x14ac:dyDescent="0.2">
      <c r="A61" s="325">
        <v>11</v>
      </c>
      <c r="B61" s="326">
        <v>2</v>
      </c>
      <c r="C61" s="326" t="s">
        <v>248</v>
      </c>
      <c r="D61" s="341">
        <v>61.5</v>
      </c>
      <c r="E61" s="341">
        <v>121.5</v>
      </c>
      <c r="F61" s="341">
        <v>181.2</v>
      </c>
      <c r="G61" s="341" t="s">
        <v>458</v>
      </c>
      <c r="H61" s="341" t="s">
        <v>458</v>
      </c>
      <c r="I61" s="341" t="s">
        <v>458</v>
      </c>
      <c r="J61" s="341" t="s">
        <v>458</v>
      </c>
      <c r="K61" s="341" t="s">
        <v>458</v>
      </c>
      <c r="L61" s="341" t="s">
        <v>458</v>
      </c>
      <c r="M61" s="19" t="s">
        <v>458</v>
      </c>
      <c r="N61" s="19" t="s">
        <v>458</v>
      </c>
      <c r="O61" s="19" t="s">
        <v>458</v>
      </c>
      <c r="P61" s="19" t="s">
        <v>458</v>
      </c>
      <c r="Q61" s="19" t="s">
        <v>458</v>
      </c>
      <c r="R61" s="19" t="s">
        <v>458</v>
      </c>
      <c r="S61" s="19" t="s">
        <v>458</v>
      </c>
      <c r="T61" s="19" t="s">
        <v>458</v>
      </c>
      <c r="U61" s="19" t="s">
        <v>458</v>
      </c>
      <c r="V61" s="19" t="s">
        <v>458</v>
      </c>
      <c r="W61" s="19" t="s">
        <v>458</v>
      </c>
      <c r="X61" s="19" t="s">
        <v>458</v>
      </c>
      <c r="Y61" s="19" t="s">
        <v>458</v>
      </c>
      <c r="Z61" s="19" t="s">
        <v>458</v>
      </c>
      <c r="AA61" s="19" t="s">
        <v>458</v>
      </c>
      <c r="AB61" s="19" t="s">
        <v>458</v>
      </c>
      <c r="AC61" s="19" t="s">
        <v>458</v>
      </c>
      <c r="AD61" s="19" t="s">
        <v>458</v>
      </c>
      <c r="AE61" s="19" t="s">
        <v>458</v>
      </c>
      <c r="AF61" s="19" t="s">
        <v>458</v>
      </c>
      <c r="AG61" s="19" t="s">
        <v>458</v>
      </c>
      <c r="AH61" s="19" t="s">
        <v>458</v>
      </c>
      <c r="AI61" s="19" t="s">
        <v>458</v>
      </c>
      <c r="AJ61" s="19" t="s">
        <v>458</v>
      </c>
      <c r="AK61" s="19" t="s">
        <v>458</v>
      </c>
      <c r="AL61" s="19" t="s">
        <v>458</v>
      </c>
      <c r="AM61" s="19" t="s">
        <v>458</v>
      </c>
      <c r="AN61" s="19" t="s">
        <v>458</v>
      </c>
      <c r="AO61" s="19" t="s">
        <v>458</v>
      </c>
      <c r="AP61" s="19" t="s">
        <v>458</v>
      </c>
      <c r="AQ61" s="19" t="s">
        <v>458</v>
      </c>
      <c r="AR61" s="19" t="s">
        <v>458</v>
      </c>
      <c r="AS61" s="19" t="s">
        <v>458</v>
      </c>
      <c r="AT61" s="19" t="s">
        <v>458</v>
      </c>
      <c r="AU61" s="19" t="s">
        <v>458</v>
      </c>
      <c r="AV61" s="19" t="s">
        <v>458</v>
      </c>
      <c r="AW61" s="19" t="s">
        <v>458</v>
      </c>
      <c r="AX61" s="19" t="s">
        <v>458</v>
      </c>
      <c r="AY61" s="19" t="s">
        <v>458</v>
      </c>
      <c r="AZ61" s="19" t="s">
        <v>458</v>
      </c>
      <c r="BA61" s="19" t="s">
        <v>458</v>
      </c>
      <c r="BB61" s="19" t="s">
        <v>458</v>
      </c>
      <c r="BC61" s="19" t="s">
        <v>458</v>
      </c>
      <c r="BD61" s="19" t="s">
        <v>458</v>
      </c>
    </row>
    <row r="62" spans="1:56" ht="16" x14ac:dyDescent="0.2">
      <c r="A62" s="323">
        <v>12</v>
      </c>
      <c r="B62" s="324">
        <v>1</v>
      </c>
      <c r="C62" s="324" t="s">
        <v>51</v>
      </c>
      <c r="D62" s="5">
        <v>52.466119999999997</v>
      </c>
      <c r="E62" s="5">
        <v>54.634149999999998</v>
      </c>
      <c r="F62" s="5">
        <v>56.802169999999997</v>
      </c>
      <c r="G62" s="5">
        <v>58.970190000000002</v>
      </c>
      <c r="H62" s="5">
        <v>61.138210000000001</v>
      </c>
      <c r="I62" s="5">
        <v>63.306229999999999</v>
      </c>
      <c r="J62" s="5">
        <v>65.474249999999998</v>
      </c>
      <c r="K62" s="5">
        <v>67.64228</v>
      </c>
      <c r="L62" s="5">
        <v>69.810299999999998</v>
      </c>
      <c r="M62" s="5">
        <v>71.978319999999997</v>
      </c>
      <c r="N62" s="5">
        <v>74.146339999999995</v>
      </c>
      <c r="O62" s="5">
        <v>76.314359999999994</v>
      </c>
      <c r="P62" s="5">
        <v>78.482380000000006</v>
      </c>
      <c r="Q62" s="5">
        <v>80.650409999999994</v>
      </c>
      <c r="R62" s="5">
        <v>82.818430000000006</v>
      </c>
      <c r="S62" s="5">
        <v>84.986450000000005</v>
      </c>
      <c r="T62" s="5">
        <v>87.154470000000003</v>
      </c>
      <c r="U62" s="5">
        <v>89.322490000000002</v>
      </c>
      <c r="V62" s="5">
        <v>91.49051</v>
      </c>
      <c r="W62" s="5">
        <v>93.658540000000002</v>
      </c>
      <c r="X62" s="5">
        <v>95.826560000000001</v>
      </c>
      <c r="Y62" s="5">
        <v>97.994579999999999</v>
      </c>
      <c r="Z62" s="5">
        <v>100.1626</v>
      </c>
      <c r="AA62" s="5">
        <v>102.33062</v>
      </c>
      <c r="AB62" s="5">
        <v>104.49863999999999</v>
      </c>
      <c r="AC62" s="5">
        <v>106.66667</v>
      </c>
      <c r="AD62" s="5">
        <v>108.83468999999999</v>
      </c>
      <c r="AE62" s="5">
        <v>111.00270999999999</v>
      </c>
      <c r="AF62" s="5">
        <v>113.17073000000001</v>
      </c>
      <c r="AG62" s="5">
        <v>115.33875</v>
      </c>
      <c r="AH62" s="5">
        <v>117.50678000000001</v>
      </c>
      <c r="AI62" s="5">
        <v>119.6748</v>
      </c>
      <c r="AJ62" s="5" t="s">
        <v>458</v>
      </c>
      <c r="AK62" s="5" t="s">
        <v>458</v>
      </c>
      <c r="AL62" s="5" t="s">
        <v>458</v>
      </c>
      <c r="AM62" s="5" t="s">
        <v>458</v>
      </c>
      <c r="AN62" s="5" t="s">
        <v>458</v>
      </c>
      <c r="AO62" s="5" t="s">
        <v>458</v>
      </c>
      <c r="AP62" s="5" t="s">
        <v>458</v>
      </c>
      <c r="AQ62" s="5" t="s">
        <v>458</v>
      </c>
      <c r="AR62" s="5" t="s">
        <v>458</v>
      </c>
      <c r="AS62" s="5" t="s">
        <v>458</v>
      </c>
      <c r="AT62" s="5" t="s">
        <v>458</v>
      </c>
      <c r="AU62" s="5" t="s">
        <v>458</v>
      </c>
      <c r="AV62" s="5" t="s">
        <v>458</v>
      </c>
      <c r="AW62" s="5" t="s">
        <v>458</v>
      </c>
      <c r="AX62" s="5" t="s">
        <v>458</v>
      </c>
      <c r="AY62" s="5" t="s">
        <v>458</v>
      </c>
      <c r="AZ62" s="5" t="s">
        <v>458</v>
      </c>
      <c r="BA62" s="5" t="s">
        <v>458</v>
      </c>
      <c r="BB62" s="5" t="s">
        <v>458</v>
      </c>
      <c r="BC62" s="5" t="s">
        <v>458</v>
      </c>
      <c r="BD62" s="5" t="s">
        <v>458</v>
      </c>
    </row>
    <row r="63" spans="1:56" ht="16" x14ac:dyDescent="0.2">
      <c r="A63" s="327">
        <v>12</v>
      </c>
      <c r="B63" s="327">
        <v>2</v>
      </c>
      <c r="C63" s="327" t="s">
        <v>52</v>
      </c>
      <c r="D63" s="5">
        <v>8.1300799999999995</v>
      </c>
      <c r="E63" s="5">
        <v>10.2981</v>
      </c>
      <c r="F63" s="5">
        <v>12.46612</v>
      </c>
      <c r="G63" s="5">
        <v>14.63415</v>
      </c>
      <c r="H63" s="5">
        <v>16.80217</v>
      </c>
      <c r="I63" s="5">
        <v>18.970189999999999</v>
      </c>
      <c r="J63" s="5">
        <v>21.138210000000001</v>
      </c>
      <c r="K63" s="5">
        <v>23.306229999999999</v>
      </c>
      <c r="L63" s="5">
        <v>25.474250000000001</v>
      </c>
      <c r="M63" s="5">
        <v>27.64228</v>
      </c>
      <c r="N63" s="5">
        <v>29.810300000000002</v>
      </c>
      <c r="O63" s="5">
        <v>31.436309999999999</v>
      </c>
      <c r="P63" s="5">
        <v>33.604340000000001</v>
      </c>
      <c r="Q63" s="5">
        <v>35.772359999999999</v>
      </c>
      <c r="R63" s="5">
        <v>37.940379999999998</v>
      </c>
      <c r="S63" s="5">
        <v>40.108400000000003</v>
      </c>
      <c r="T63" s="5">
        <v>42.276420000000002</v>
      </c>
      <c r="U63" s="5">
        <v>44.44444</v>
      </c>
      <c r="V63" s="5">
        <v>46.612470000000002</v>
      </c>
      <c r="W63" s="5">
        <v>48.78049</v>
      </c>
      <c r="X63" s="5">
        <v>50.948509999999999</v>
      </c>
      <c r="Y63" s="5">
        <v>53.116529999999997</v>
      </c>
      <c r="Z63" s="5">
        <v>55.284550000000003</v>
      </c>
      <c r="AA63" s="5">
        <v>57.452570000000001</v>
      </c>
      <c r="AB63" s="5">
        <v>59.620600000000003</v>
      </c>
      <c r="AC63" s="5">
        <v>61.35501</v>
      </c>
      <c r="AD63" s="5">
        <v>63.523040000000002</v>
      </c>
      <c r="AE63" s="5">
        <v>65.691059999999993</v>
      </c>
      <c r="AF63" s="5">
        <v>67.859080000000006</v>
      </c>
      <c r="AG63" s="5">
        <v>70.027100000000004</v>
      </c>
      <c r="AH63" s="5">
        <v>72.195120000000003</v>
      </c>
      <c r="AI63" s="5">
        <v>74.363140000000001</v>
      </c>
      <c r="AJ63" s="5">
        <v>76.531170000000003</v>
      </c>
      <c r="AK63" s="5">
        <v>78.699190000000002</v>
      </c>
      <c r="AL63" s="5">
        <v>80.86721</v>
      </c>
      <c r="AM63" s="5">
        <v>83.035229999999999</v>
      </c>
      <c r="AN63" s="5">
        <v>85.203249999999997</v>
      </c>
      <c r="AO63" s="5">
        <v>87.371269999999996</v>
      </c>
      <c r="AP63" s="5">
        <v>89.539299999999997</v>
      </c>
      <c r="AQ63" s="5">
        <v>91.707319999999996</v>
      </c>
      <c r="AR63" s="5">
        <v>93.875339999999994</v>
      </c>
      <c r="AS63" s="5">
        <v>96.043360000000007</v>
      </c>
      <c r="AT63" s="5">
        <v>98.211380000000005</v>
      </c>
      <c r="AU63" s="5">
        <v>100.3794</v>
      </c>
      <c r="AV63" s="5">
        <v>102.54743000000001</v>
      </c>
      <c r="AW63" s="5">
        <v>104.71545</v>
      </c>
      <c r="AX63" s="5">
        <v>106.88347</v>
      </c>
      <c r="AY63" s="5">
        <v>109.05149</v>
      </c>
      <c r="AZ63" s="5">
        <v>111.21951</v>
      </c>
      <c r="BA63" s="5">
        <v>113.38753</v>
      </c>
      <c r="BB63" s="5">
        <v>115.55556</v>
      </c>
      <c r="BC63" s="5">
        <v>117.72358</v>
      </c>
      <c r="BD63" s="5">
        <v>119.8916</v>
      </c>
    </row>
    <row r="64" spans="1:56" ht="16" x14ac:dyDescent="0.2">
      <c r="A64" s="323">
        <v>12</v>
      </c>
      <c r="B64" s="324">
        <v>3</v>
      </c>
      <c r="C64" s="324" t="s">
        <v>53</v>
      </c>
      <c r="D64" s="5">
        <v>12.46612</v>
      </c>
      <c r="E64" s="5">
        <v>14.63415</v>
      </c>
      <c r="F64" s="5">
        <v>16.80217</v>
      </c>
      <c r="G64" s="5">
        <v>18.970189999999999</v>
      </c>
      <c r="H64" s="5">
        <v>21.138210000000001</v>
      </c>
      <c r="I64" s="5">
        <v>23.306229999999999</v>
      </c>
      <c r="J64" s="5">
        <v>25.474250000000001</v>
      </c>
      <c r="K64" s="5">
        <v>27.64228</v>
      </c>
      <c r="L64" s="5">
        <v>29.810300000000002</v>
      </c>
      <c r="M64" s="5">
        <v>31.97832</v>
      </c>
      <c r="N64" s="5">
        <v>34.146340000000002</v>
      </c>
      <c r="O64" s="5">
        <v>36.314360000000001</v>
      </c>
      <c r="P64" s="5">
        <v>38.482379999999999</v>
      </c>
      <c r="Q64" s="5">
        <v>40.650410000000001</v>
      </c>
      <c r="R64" s="5">
        <v>42.818429999999999</v>
      </c>
      <c r="S64" s="5">
        <v>44.986449999999998</v>
      </c>
      <c r="T64" s="5">
        <v>47.154470000000003</v>
      </c>
      <c r="U64" s="5">
        <v>49.322490000000002</v>
      </c>
      <c r="V64" s="5">
        <v>51.49051</v>
      </c>
      <c r="W64" s="5">
        <v>53.658540000000002</v>
      </c>
      <c r="X64" s="5">
        <v>55.826560000000001</v>
      </c>
      <c r="Y64" s="5">
        <v>57.994579999999999</v>
      </c>
      <c r="Z64" s="5">
        <v>60.162599999999998</v>
      </c>
      <c r="AA64" s="5">
        <v>62.330620000000003</v>
      </c>
      <c r="AB64" s="5">
        <v>64.498639999999995</v>
      </c>
      <c r="AC64" s="5">
        <v>66.666669999999996</v>
      </c>
      <c r="AD64" s="5">
        <v>68.834689999999995</v>
      </c>
      <c r="AE64" s="5">
        <v>71.002709999999993</v>
      </c>
      <c r="AF64" s="5">
        <v>73.170730000000006</v>
      </c>
      <c r="AG64" s="5">
        <v>75.338750000000005</v>
      </c>
      <c r="AH64" s="5">
        <v>77.506780000000006</v>
      </c>
      <c r="AI64" s="5">
        <v>79.674800000000005</v>
      </c>
      <c r="AJ64" s="5">
        <v>81.842820000000003</v>
      </c>
      <c r="AK64" s="5">
        <v>84.010840000000002</v>
      </c>
      <c r="AL64" s="5">
        <v>86.17886</v>
      </c>
      <c r="AM64" s="5">
        <v>88.346879999999999</v>
      </c>
      <c r="AN64" s="5">
        <v>91.056910000000002</v>
      </c>
      <c r="AO64" s="5">
        <v>93.224930000000001</v>
      </c>
      <c r="AP64" s="5">
        <v>95.392949999999999</v>
      </c>
      <c r="AQ64" s="5">
        <v>97.560980000000001</v>
      </c>
      <c r="AR64" s="5">
        <v>99.728999999999999</v>
      </c>
      <c r="AS64" s="5">
        <v>101.89702</v>
      </c>
      <c r="AT64" s="5">
        <v>104.06504</v>
      </c>
      <c r="AU64" s="5">
        <v>106.23305999999999</v>
      </c>
      <c r="AV64" s="5">
        <v>108.40107999999999</v>
      </c>
      <c r="AW64" s="5">
        <v>110.56910999999999</v>
      </c>
      <c r="AX64" s="5">
        <v>112.73712999999999</v>
      </c>
      <c r="AY64" s="5">
        <v>114.90515000000001</v>
      </c>
      <c r="AZ64" s="5">
        <v>117.07317</v>
      </c>
      <c r="BA64" s="5">
        <v>119.24119</v>
      </c>
      <c r="BB64" s="5" t="s">
        <v>458</v>
      </c>
      <c r="BC64" s="5" t="s">
        <v>458</v>
      </c>
      <c r="BD64" s="5" t="s">
        <v>458</v>
      </c>
    </row>
    <row r="65" spans="1:56" ht="16" x14ac:dyDescent="0.2">
      <c r="A65" s="323">
        <v>12</v>
      </c>
      <c r="B65" s="324">
        <v>4</v>
      </c>
      <c r="C65" s="324" t="s">
        <v>54</v>
      </c>
      <c r="D65" s="5">
        <v>8.2384799999999991</v>
      </c>
      <c r="E65" s="5">
        <v>10.406499999999999</v>
      </c>
      <c r="F65" s="5">
        <v>12.574529999999999</v>
      </c>
      <c r="G65" s="5">
        <v>14.74255</v>
      </c>
      <c r="H65" s="5">
        <v>16.91057</v>
      </c>
      <c r="I65" s="5">
        <v>19.078589999999998</v>
      </c>
      <c r="J65" s="5">
        <v>21.24661</v>
      </c>
      <c r="K65" s="5">
        <v>23.414629999999999</v>
      </c>
      <c r="L65" s="5">
        <v>25.582660000000001</v>
      </c>
      <c r="M65" s="5">
        <v>27.750679999999999</v>
      </c>
      <c r="N65" s="5">
        <v>29.918700000000001</v>
      </c>
      <c r="O65" s="5">
        <v>33.495930000000001</v>
      </c>
      <c r="P65" s="5">
        <v>35.663960000000003</v>
      </c>
      <c r="Q65" s="5">
        <v>37.831980000000001</v>
      </c>
      <c r="R65" s="5">
        <v>40</v>
      </c>
      <c r="S65" s="5">
        <v>42.168019999999999</v>
      </c>
      <c r="T65" s="5">
        <v>44.336039999999997</v>
      </c>
      <c r="U65" s="5">
        <v>49.105690000000003</v>
      </c>
      <c r="V65" s="5">
        <v>54.092140000000001</v>
      </c>
      <c r="W65" s="5">
        <v>56.260159999999999</v>
      </c>
      <c r="X65" s="5">
        <v>58.428179999999998</v>
      </c>
      <c r="Y65" s="5">
        <v>60.596209999999999</v>
      </c>
      <c r="Z65" s="5">
        <v>62.764229999999998</v>
      </c>
      <c r="AA65" s="5">
        <v>64.932249999999996</v>
      </c>
      <c r="AB65" s="5">
        <v>67.100269999999995</v>
      </c>
      <c r="AC65" s="5">
        <v>69.268289999999993</v>
      </c>
      <c r="AD65" s="5">
        <v>71.436310000000006</v>
      </c>
      <c r="AE65" s="5">
        <v>73.604339999999993</v>
      </c>
      <c r="AF65" s="5">
        <v>75.772360000000006</v>
      </c>
      <c r="AG65" s="5">
        <v>77.940380000000005</v>
      </c>
      <c r="AH65" s="5">
        <v>80.108400000000003</v>
      </c>
      <c r="AI65" s="5">
        <v>82.276420000000002</v>
      </c>
      <c r="AJ65" s="5">
        <v>84.44444</v>
      </c>
      <c r="AK65" s="5">
        <v>86.612470000000002</v>
      </c>
      <c r="AL65" s="5">
        <v>88.78049</v>
      </c>
      <c r="AM65" s="5">
        <v>90.948509999999999</v>
      </c>
      <c r="AN65" s="5">
        <v>93.116529999999997</v>
      </c>
      <c r="AO65" s="5">
        <v>95.826560000000001</v>
      </c>
      <c r="AP65" s="5">
        <v>99.837400000000002</v>
      </c>
      <c r="AQ65" s="5">
        <v>104.60705</v>
      </c>
      <c r="AR65" s="5">
        <v>110.0271</v>
      </c>
      <c r="AS65" s="5">
        <v>117.72358</v>
      </c>
      <c r="AT65" s="5" t="s">
        <v>458</v>
      </c>
      <c r="AU65" s="5" t="s">
        <v>458</v>
      </c>
      <c r="AV65" s="5" t="s">
        <v>458</v>
      </c>
      <c r="AW65" s="5" t="s">
        <v>458</v>
      </c>
      <c r="AX65" s="5" t="s">
        <v>458</v>
      </c>
      <c r="AY65" s="5" t="s">
        <v>458</v>
      </c>
      <c r="AZ65" s="5" t="s">
        <v>458</v>
      </c>
      <c r="BA65" s="5" t="s">
        <v>458</v>
      </c>
      <c r="BB65" s="5" t="s">
        <v>458</v>
      </c>
      <c r="BC65" s="5" t="s">
        <v>458</v>
      </c>
      <c r="BD65" s="5" t="s">
        <v>458</v>
      </c>
    </row>
    <row r="66" spans="1:56" ht="16" x14ac:dyDescent="0.2">
      <c r="A66" s="323">
        <v>12</v>
      </c>
      <c r="B66" s="324">
        <v>5</v>
      </c>
      <c r="C66" s="324" t="s">
        <v>55</v>
      </c>
      <c r="D66" s="5">
        <v>6.4864899999999999</v>
      </c>
      <c r="E66" s="5">
        <v>11.02703</v>
      </c>
      <c r="F66" s="5">
        <v>19.45946</v>
      </c>
      <c r="G66" s="5">
        <v>28.43243</v>
      </c>
      <c r="H66" s="5">
        <v>35.13514</v>
      </c>
      <c r="I66" s="5">
        <v>40</v>
      </c>
      <c r="J66" s="5">
        <v>46.054049999999997</v>
      </c>
      <c r="K66" s="5">
        <v>51.67568</v>
      </c>
      <c r="L66" s="5">
        <v>56.648650000000004</v>
      </c>
      <c r="M66" s="5">
        <v>60.432429999999997</v>
      </c>
      <c r="N66" s="5">
        <v>64</v>
      </c>
      <c r="O66" s="5">
        <v>67.351349999999996</v>
      </c>
      <c r="P66" s="5">
        <v>70.702699999999993</v>
      </c>
      <c r="Q66" s="5">
        <v>75.135140000000007</v>
      </c>
      <c r="R66" s="5">
        <v>79.027029999999996</v>
      </c>
      <c r="S66" s="5">
        <v>82.702699999999993</v>
      </c>
      <c r="T66" s="5">
        <v>86.486490000000003</v>
      </c>
      <c r="U66" s="5">
        <v>90.270269999999996</v>
      </c>
      <c r="V66" s="5">
        <v>94.16216</v>
      </c>
      <c r="W66" s="5">
        <v>98.270269999999996</v>
      </c>
      <c r="X66" s="5">
        <v>102.81081</v>
      </c>
      <c r="Y66" s="5">
        <v>107.78377999999999</v>
      </c>
      <c r="Z66" s="5">
        <v>111.02703</v>
      </c>
      <c r="AA66" s="5">
        <v>114.59459</v>
      </c>
      <c r="AB66" s="5">
        <v>117.51351</v>
      </c>
      <c r="AC66" s="5">
        <v>120</v>
      </c>
      <c r="AD66" s="5" t="s">
        <v>458</v>
      </c>
      <c r="AE66" s="5" t="s">
        <v>458</v>
      </c>
      <c r="AF66" s="5" t="s">
        <v>458</v>
      </c>
      <c r="AG66" s="5" t="s">
        <v>458</v>
      </c>
      <c r="AH66" s="5" t="s">
        <v>458</v>
      </c>
      <c r="AI66" s="5" t="s">
        <v>458</v>
      </c>
      <c r="AJ66" s="5" t="s">
        <v>458</v>
      </c>
      <c r="AK66" s="5" t="s">
        <v>458</v>
      </c>
      <c r="AL66" s="5" t="s">
        <v>458</v>
      </c>
      <c r="AM66" s="5" t="s">
        <v>458</v>
      </c>
      <c r="AN66" s="5" t="s">
        <v>458</v>
      </c>
      <c r="AO66" s="5" t="s">
        <v>458</v>
      </c>
      <c r="AP66" s="5" t="s">
        <v>458</v>
      </c>
      <c r="AQ66" s="5" t="s">
        <v>458</v>
      </c>
      <c r="AR66" s="5" t="s">
        <v>458</v>
      </c>
      <c r="AS66" s="5" t="s">
        <v>458</v>
      </c>
      <c r="AT66" s="5" t="s">
        <v>458</v>
      </c>
      <c r="AU66" s="5" t="s">
        <v>458</v>
      </c>
      <c r="AV66" s="5" t="s">
        <v>458</v>
      </c>
      <c r="AW66" s="5" t="s">
        <v>458</v>
      </c>
      <c r="AX66" s="5" t="s">
        <v>458</v>
      </c>
      <c r="AY66" s="5" t="s">
        <v>458</v>
      </c>
      <c r="AZ66" s="5" t="s">
        <v>458</v>
      </c>
      <c r="BA66" s="5" t="s">
        <v>458</v>
      </c>
      <c r="BB66" s="5" t="s">
        <v>458</v>
      </c>
      <c r="BC66" s="5" t="s">
        <v>458</v>
      </c>
      <c r="BD66" s="5" t="s">
        <v>458</v>
      </c>
    </row>
    <row r="67" spans="1:56" s="19" customFormat="1" ht="16" x14ac:dyDescent="0.2">
      <c r="A67" s="325">
        <v>12</v>
      </c>
      <c r="B67" s="326">
        <v>6</v>
      </c>
      <c r="C67" s="326" t="s">
        <v>56</v>
      </c>
      <c r="D67" s="19">
        <v>2.0596199999999998</v>
      </c>
      <c r="E67" s="19">
        <v>4.2276400000000001</v>
      </c>
      <c r="F67" s="19">
        <v>6.3956600000000003</v>
      </c>
      <c r="G67" s="19">
        <v>8.5636899999999994</v>
      </c>
      <c r="H67" s="19">
        <v>10.73171</v>
      </c>
      <c r="I67" s="19">
        <v>12.89973</v>
      </c>
      <c r="J67" s="19">
        <v>15.06775</v>
      </c>
      <c r="K67" s="19">
        <v>18.53659</v>
      </c>
      <c r="L67" s="19">
        <v>22.005420000000001</v>
      </c>
      <c r="M67" s="19">
        <v>24.173439999999999</v>
      </c>
      <c r="N67" s="19">
        <v>26.341460000000001</v>
      </c>
      <c r="O67" s="19">
        <v>28.50949</v>
      </c>
      <c r="P67" s="19">
        <v>30.677510000000002</v>
      </c>
      <c r="Q67" s="19">
        <v>32.845529999999997</v>
      </c>
      <c r="R67" s="19">
        <v>35.013550000000002</v>
      </c>
      <c r="S67" s="19">
        <v>37.181570000000001</v>
      </c>
      <c r="T67" s="19">
        <v>39.349589999999999</v>
      </c>
      <c r="U67" s="19">
        <v>41.517620000000001</v>
      </c>
      <c r="V67" s="19">
        <v>43.685639999999999</v>
      </c>
      <c r="W67" s="19">
        <v>49.105690000000003</v>
      </c>
      <c r="X67" s="19">
        <v>52.574530000000003</v>
      </c>
      <c r="Y67" s="19">
        <v>56.476959999999998</v>
      </c>
      <c r="Z67" s="19">
        <v>58.64499</v>
      </c>
      <c r="AA67" s="19">
        <v>60.813009999999998</v>
      </c>
      <c r="AB67" s="19">
        <v>62.981029999999997</v>
      </c>
      <c r="AC67" s="19">
        <v>65.149050000000003</v>
      </c>
      <c r="AD67" s="19">
        <v>67.317070000000001</v>
      </c>
      <c r="AE67" s="19">
        <v>69.48509</v>
      </c>
      <c r="AF67" s="19">
        <v>71.653120000000001</v>
      </c>
      <c r="AG67" s="19">
        <v>73.82114</v>
      </c>
      <c r="AH67" s="19">
        <v>75.989159999999998</v>
      </c>
      <c r="AI67" s="19">
        <v>78.157179999999997</v>
      </c>
      <c r="AJ67" s="19">
        <v>80.325199999999995</v>
      </c>
      <c r="AK67" s="19">
        <v>82.493219999999994</v>
      </c>
      <c r="AL67" s="19">
        <v>84.661249999999995</v>
      </c>
      <c r="AM67" s="19">
        <v>86.829269999999994</v>
      </c>
      <c r="AN67" s="19">
        <v>88.997290000000007</v>
      </c>
      <c r="AO67" s="19">
        <v>91.165310000000005</v>
      </c>
      <c r="AP67" s="19">
        <v>95.284549999999996</v>
      </c>
      <c r="AQ67" s="19">
        <v>97.452569999999994</v>
      </c>
      <c r="AR67" s="19">
        <v>99.620599999999996</v>
      </c>
      <c r="AS67" s="19">
        <v>101.78861999999999</v>
      </c>
      <c r="AT67" s="19">
        <v>103.95663999999999</v>
      </c>
      <c r="AU67" s="19">
        <v>106.12466000000001</v>
      </c>
      <c r="AV67" s="19">
        <v>108.29268</v>
      </c>
      <c r="AW67" s="19">
        <v>110.4607</v>
      </c>
      <c r="AX67" s="19">
        <v>112.62873</v>
      </c>
      <c r="AY67" s="19">
        <v>114.79675</v>
      </c>
      <c r="AZ67" s="19">
        <v>116.96477</v>
      </c>
      <c r="BA67" s="19">
        <v>119.13279</v>
      </c>
      <c r="BB67" s="19" t="s">
        <v>458</v>
      </c>
      <c r="BC67" s="19" t="s">
        <v>458</v>
      </c>
      <c r="BD67" s="19" t="s">
        <v>458</v>
      </c>
    </row>
    <row r="68" spans="1:56" ht="16" x14ac:dyDescent="0.2">
      <c r="A68" s="323">
        <v>13</v>
      </c>
      <c r="B68" s="324">
        <v>1</v>
      </c>
      <c r="C68" s="324" t="s">
        <v>58</v>
      </c>
      <c r="D68" s="13">
        <v>16.158239999999999</v>
      </c>
      <c r="E68" s="13">
        <v>19.137789999999999</v>
      </c>
      <c r="F68" s="13">
        <v>20.742190000000001</v>
      </c>
      <c r="G68" s="13">
        <v>22.575699999999998</v>
      </c>
      <c r="H68" s="13">
        <v>25.096889999999998</v>
      </c>
      <c r="I68" s="13">
        <v>27.503420000000002</v>
      </c>
      <c r="J68" s="13">
        <v>30.368379999999998</v>
      </c>
      <c r="K68" s="13">
        <v>32.545730000000006</v>
      </c>
      <c r="L68" s="13">
        <v>35.410619999999994</v>
      </c>
      <c r="M68" s="5">
        <v>37.473379999999999</v>
      </c>
      <c r="N68" s="5">
        <v>39.994570000000003</v>
      </c>
      <c r="O68" s="5">
        <v>41.866300000000003</v>
      </c>
      <c r="P68" s="5">
        <v>44.234679999999997</v>
      </c>
      <c r="Q68" s="5">
        <v>46.526620000000001</v>
      </c>
      <c r="R68" s="5">
        <v>49.047740000000005</v>
      </c>
      <c r="S68" s="5">
        <v>52.180099999999996</v>
      </c>
      <c r="T68" s="5">
        <v>55.465200000000003</v>
      </c>
      <c r="U68" s="5">
        <v>57.98639</v>
      </c>
      <c r="V68" s="5">
        <v>60.507509999999996</v>
      </c>
      <c r="W68" s="5">
        <v>63.02863</v>
      </c>
      <c r="X68" s="5">
        <v>65.549819999999997</v>
      </c>
      <c r="Y68" s="5">
        <v>68.070940000000007</v>
      </c>
      <c r="Z68" s="5">
        <v>70.362880000000004</v>
      </c>
      <c r="AA68" s="5">
        <v>71.967280000000002</v>
      </c>
      <c r="AB68" s="5">
        <v>74.602990000000005</v>
      </c>
      <c r="AC68" s="5">
        <v>77.124179999999996</v>
      </c>
      <c r="AD68" s="5">
        <v>79.645300000000006</v>
      </c>
      <c r="AE68" s="5">
        <v>83.42698</v>
      </c>
      <c r="AF68" s="5" t="s">
        <v>458</v>
      </c>
      <c r="AG68" s="5" t="s">
        <v>458</v>
      </c>
      <c r="AH68" s="5" t="s">
        <v>458</v>
      </c>
      <c r="AI68" s="5" t="s">
        <v>458</v>
      </c>
      <c r="AJ68" s="5" t="s">
        <v>458</v>
      </c>
      <c r="AK68" s="5" t="s">
        <v>458</v>
      </c>
      <c r="AL68" s="5" t="s">
        <v>458</v>
      </c>
      <c r="AM68" s="5" t="s">
        <v>458</v>
      </c>
      <c r="AN68" s="5" t="s">
        <v>458</v>
      </c>
      <c r="AO68" s="5" t="s">
        <v>458</v>
      </c>
      <c r="AP68" s="5" t="s">
        <v>458</v>
      </c>
      <c r="AQ68" s="5" t="s">
        <v>458</v>
      </c>
      <c r="AR68" s="5" t="s">
        <v>458</v>
      </c>
      <c r="AS68" s="5" t="s">
        <v>458</v>
      </c>
      <c r="AT68" s="5" t="s">
        <v>458</v>
      </c>
      <c r="AU68" s="5" t="s">
        <v>458</v>
      </c>
      <c r="AV68" s="5" t="s">
        <v>458</v>
      </c>
      <c r="AW68" s="5" t="s">
        <v>458</v>
      </c>
      <c r="AX68" s="5" t="s">
        <v>458</v>
      </c>
      <c r="AY68" s="5" t="s">
        <v>458</v>
      </c>
      <c r="AZ68" s="5" t="s">
        <v>458</v>
      </c>
      <c r="BA68" s="5" t="s">
        <v>458</v>
      </c>
      <c r="BB68" s="5" t="s">
        <v>458</v>
      </c>
      <c r="BC68" s="5" t="s">
        <v>458</v>
      </c>
      <c r="BD68" s="5" t="s">
        <v>458</v>
      </c>
    </row>
    <row r="69" spans="1:56" ht="16" x14ac:dyDescent="0.2">
      <c r="A69" s="323">
        <v>13</v>
      </c>
      <c r="B69" s="318">
        <v>2</v>
      </c>
      <c r="C69" s="324" t="s">
        <v>59</v>
      </c>
      <c r="D69" s="5">
        <v>16.960439999999998</v>
      </c>
      <c r="E69" s="5">
        <v>18.67943</v>
      </c>
      <c r="F69" s="5">
        <v>21.773499999999999</v>
      </c>
      <c r="G69" s="5">
        <v>24.982230000000001</v>
      </c>
      <c r="H69" s="5">
        <v>27.503420000000002</v>
      </c>
      <c r="I69" s="5">
        <v>30.024540000000002</v>
      </c>
      <c r="J69" s="5">
        <v>32.660319999999999</v>
      </c>
      <c r="K69" s="5">
        <v>35.066850000000002</v>
      </c>
      <c r="L69" s="5">
        <v>37.587970000000006</v>
      </c>
      <c r="M69" s="5">
        <v>40.223749999999995</v>
      </c>
      <c r="N69" s="5">
        <v>42.515689999999999</v>
      </c>
      <c r="O69" s="5">
        <v>44.005429999999997</v>
      </c>
      <c r="P69" s="5">
        <v>46.526620000000001</v>
      </c>
      <c r="Q69" s="5">
        <v>49.047740000000005</v>
      </c>
      <c r="R69" s="5">
        <v>51.568860000000001</v>
      </c>
      <c r="S69" s="5">
        <v>54.090049999999998</v>
      </c>
      <c r="T69" s="5">
        <v>56.496580000000002</v>
      </c>
      <c r="U69" s="5">
        <v>58.100980000000007</v>
      </c>
      <c r="V69" s="5">
        <v>60.622099999999996</v>
      </c>
      <c r="W69" s="5">
        <v>63.143219999999999</v>
      </c>
      <c r="X69" s="5">
        <v>65.664410000000004</v>
      </c>
      <c r="Y69" s="5">
        <v>68.18553</v>
      </c>
      <c r="Z69" s="5">
        <v>69.331500000000005</v>
      </c>
      <c r="AA69" s="5">
        <v>70.93589999999999</v>
      </c>
      <c r="AB69" s="5">
        <v>72.654820000000001</v>
      </c>
      <c r="AC69" s="5">
        <v>74.373809999999992</v>
      </c>
      <c r="AD69" s="5">
        <v>76.665750000000003</v>
      </c>
      <c r="AE69" s="5">
        <v>78.613920000000007</v>
      </c>
      <c r="AF69" s="5">
        <v>80.676680000000005</v>
      </c>
      <c r="AG69" s="5">
        <v>82.624849999999995</v>
      </c>
      <c r="AH69" s="5">
        <v>84.343770000000006</v>
      </c>
      <c r="AI69" s="5" t="s">
        <v>458</v>
      </c>
      <c r="AJ69" s="5" t="s">
        <v>458</v>
      </c>
      <c r="AK69" s="5" t="s">
        <v>458</v>
      </c>
      <c r="AL69" s="5" t="s">
        <v>458</v>
      </c>
      <c r="AM69" s="5" t="s">
        <v>458</v>
      </c>
      <c r="AN69" s="5" t="s">
        <v>458</v>
      </c>
      <c r="AO69" s="5" t="s">
        <v>458</v>
      </c>
      <c r="AP69" s="5" t="s">
        <v>458</v>
      </c>
      <c r="AQ69" s="5" t="s">
        <v>458</v>
      </c>
      <c r="AR69" s="5" t="s">
        <v>458</v>
      </c>
      <c r="AS69" s="5" t="s">
        <v>458</v>
      </c>
      <c r="AT69" s="5" t="s">
        <v>458</v>
      </c>
      <c r="AU69" s="5" t="s">
        <v>458</v>
      </c>
      <c r="AV69" s="5" t="s">
        <v>458</v>
      </c>
      <c r="AW69" s="5" t="s">
        <v>458</v>
      </c>
      <c r="AX69" s="5" t="s">
        <v>458</v>
      </c>
      <c r="AY69" s="5" t="s">
        <v>458</v>
      </c>
      <c r="AZ69" s="5" t="s">
        <v>458</v>
      </c>
      <c r="BA69" s="5" t="s">
        <v>458</v>
      </c>
      <c r="BB69" s="5" t="s">
        <v>458</v>
      </c>
      <c r="BC69" s="5" t="s">
        <v>458</v>
      </c>
      <c r="BD69" s="5" t="s">
        <v>458</v>
      </c>
    </row>
    <row r="70" spans="1:56" x14ac:dyDescent="0.2">
      <c r="A70" s="323">
        <v>13</v>
      </c>
      <c r="B70" s="318">
        <v>3</v>
      </c>
      <c r="C70" s="318" t="s">
        <v>57</v>
      </c>
      <c r="D70" s="5">
        <v>20.62753</v>
      </c>
      <c r="E70" s="5">
        <v>23.034129999999998</v>
      </c>
      <c r="F70" s="5">
        <v>25.326070000000001</v>
      </c>
      <c r="G70" s="5">
        <v>27.503420000000002</v>
      </c>
      <c r="H70" s="5">
        <v>30.024540000000002</v>
      </c>
      <c r="I70" s="5">
        <v>32.545730000000006</v>
      </c>
      <c r="J70" s="5">
        <v>35.066850000000002</v>
      </c>
      <c r="K70" s="5">
        <v>37.587970000000006</v>
      </c>
      <c r="L70" s="5">
        <v>41.5989</v>
      </c>
      <c r="M70" s="5">
        <v>44.005429999999997</v>
      </c>
      <c r="N70" s="5">
        <v>46.526620000000001</v>
      </c>
      <c r="O70" s="5">
        <v>49.047740000000005</v>
      </c>
      <c r="P70" s="5">
        <v>51.683520000000001</v>
      </c>
      <c r="Q70" s="5">
        <v>54.090049999999998</v>
      </c>
      <c r="R70" s="5">
        <v>58.444749999999999</v>
      </c>
      <c r="S70" s="5">
        <v>60.851280000000003</v>
      </c>
      <c r="T70" s="5">
        <v>63.37247</v>
      </c>
      <c r="U70" s="5">
        <v>65.893590000000003</v>
      </c>
      <c r="V70" s="5">
        <v>69.102320000000006</v>
      </c>
      <c r="W70" s="5">
        <v>70.248289999999997</v>
      </c>
      <c r="X70" s="5">
        <v>71.967280000000002</v>
      </c>
      <c r="Y70" s="5">
        <v>74.488399999999999</v>
      </c>
      <c r="Z70" s="5">
        <v>77.009519999999995</v>
      </c>
      <c r="AA70" s="5">
        <v>79.530709999999999</v>
      </c>
      <c r="AB70" s="5">
        <v>83.656229999999994</v>
      </c>
      <c r="AC70" s="5" t="s">
        <v>458</v>
      </c>
      <c r="AD70" s="5" t="s">
        <v>458</v>
      </c>
      <c r="AE70" s="5" t="s">
        <v>458</v>
      </c>
      <c r="AF70" s="5" t="s">
        <v>458</v>
      </c>
      <c r="AG70" s="5" t="s">
        <v>458</v>
      </c>
      <c r="AH70" s="5" t="s">
        <v>458</v>
      </c>
      <c r="AI70" s="5" t="s">
        <v>458</v>
      </c>
      <c r="AJ70" s="5" t="s">
        <v>458</v>
      </c>
      <c r="AK70" s="5" t="s">
        <v>458</v>
      </c>
      <c r="AL70" s="5" t="s">
        <v>458</v>
      </c>
      <c r="AM70" s="5" t="s">
        <v>458</v>
      </c>
      <c r="AN70" s="5" t="s">
        <v>458</v>
      </c>
      <c r="AO70" s="5" t="s">
        <v>458</v>
      </c>
      <c r="AP70" s="5" t="s">
        <v>458</v>
      </c>
      <c r="AQ70" s="5" t="s">
        <v>458</v>
      </c>
      <c r="AR70" s="5" t="s">
        <v>458</v>
      </c>
      <c r="AS70" s="5" t="s">
        <v>458</v>
      </c>
      <c r="AT70" s="5" t="s">
        <v>458</v>
      </c>
      <c r="AU70" s="5" t="s">
        <v>458</v>
      </c>
      <c r="AV70" s="5" t="s">
        <v>458</v>
      </c>
      <c r="AW70" s="5" t="s">
        <v>458</v>
      </c>
      <c r="AX70" s="5" t="s">
        <v>458</v>
      </c>
      <c r="AY70" s="5" t="s">
        <v>458</v>
      </c>
      <c r="AZ70" s="5" t="s">
        <v>458</v>
      </c>
      <c r="BA70" s="5" t="s">
        <v>458</v>
      </c>
      <c r="BB70" s="5" t="s">
        <v>458</v>
      </c>
      <c r="BC70" s="5" t="s">
        <v>458</v>
      </c>
      <c r="BD70" s="5" t="s">
        <v>458</v>
      </c>
    </row>
    <row r="71" spans="1:56" x14ac:dyDescent="0.2">
      <c r="A71" s="331">
        <v>13</v>
      </c>
      <c r="B71" s="331">
        <v>4</v>
      </c>
      <c r="C71" s="331" t="s">
        <v>60</v>
      </c>
      <c r="D71" s="5">
        <v>11.459770000000001</v>
      </c>
      <c r="E71" s="5">
        <v>14.09548</v>
      </c>
      <c r="F71" s="5">
        <v>16.616670000000003</v>
      </c>
      <c r="G71" s="5">
        <v>20.474789999999999</v>
      </c>
      <c r="H71" s="5">
        <v>22.575699999999998</v>
      </c>
      <c r="I71" s="5">
        <v>24.753050000000002</v>
      </c>
      <c r="J71" s="5">
        <v>27.274239999999999</v>
      </c>
      <c r="K71" s="5">
        <v>30.024540000000002</v>
      </c>
      <c r="L71" s="5">
        <v>32.545730000000006</v>
      </c>
      <c r="M71" s="5">
        <v>35.066850000000002</v>
      </c>
      <c r="N71" s="5">
        <v>37.587970000000006</v>
      </c>
      <c r="O71" s="5">
        <v>41.866300000000003</v>
      </c>
      <c r="P71" s="5">
        <v>44.120019999999997</v>
      </c>
      <c r="Q71" s="5">
        <v>46.526620000000001</v>
      </c>
      <c r="R71" s="5">
        <v>49.047740000000005</v>
      </c>
      <c r="S71" s="5">
        <v>51.568860000000001</v>
      </c>
      <c r="T71" s="5">
        <v>54.204639999999998</v>
      </c>
      <c r="U71" s="5">
        <v>56.254659999999994</v>
      </c>
      <c r="V71" s="5">
        <v>60.507509999999996</v>
      </c>
      <c r="W71" s="5">
        <v>63.02863</v>
      </c>
      <c r="X71" s="5">
        <v>65.549819999999997</v>
      </c>
      <c r="Y71" s="5">
        <v>68.070940000000007</v>
      </c>
      <c r="Z71" s="5">
        <v>70.00636999999999</v>
      </c>
      <c r="AA71" s="5">
        <v>72.196460000000002</v>
      </c>
      <c r="AB71" s="5">
        <v>74.144630000000006</v>
      </c>
      <c r="AC71" s="5">
        <v>77.811719999999994</v>
      </c>
      <c r="AD71" s="5">
        <v>79.759889999999999</v>
      </c>
      <c r="AE71" s="5">
        <v>82.166420000000002</v>
      </c>
      <c r="AF71" s="5">
        <v>83.758079999999993</v>
      </c>
      <c r="AG71" s="5" t="s">
        <v>458</v>
      </c>
      <c r="AH71" s="5" t="s">
        <v>458</v>
      </c>
      <c r="AI71" s="5" t="s">
        <v>458</v>
      </c>
      <c r="AJ71" s="5" t="s">
        <v>458</v>
      </c>
      <c r="AK71" s="5" t="s">
        <v>458</v>
      </c>
      <c r="AL71" s="5" t="s">
        <v>458</v>
      </c>
      <c r="AM71" s="5" t="s">
        <v>458</v>
      </c>
      <c r="AN71" s="5" t="s">
        <v>458</v>
      </c>
      <c r="AO71" s="5" t="s">
        <v>458</v>
      </c>
      <c r="AP71" s="5" t="s">
        <v>458</v>
      </c>
      <c r="AQ71" s="5" t="s">
        <v>458</v>
      </c>
      <c r="AR71" s="5" t="s">
        <v>458</v>
      </c>
      <c r="AS71" s="5" t="s">
        <v>458</v>
      </c>
      <c r="AT71" s="5" t="s">
        <v>458</v>
      </c>
      <c r="AU71" s="5" t="s">
        <v>458</v>
      </c>
      <c r="AV71" s="5" t="s">
        <v>458</v>
      </c>
      <c r="AW71" s="5" t="s">
        <v>458</v>
      </c>
      <c r="AX71" s="5" t="s">
        <v>458</v>
      </c>
      <c r="AY71" s="5" t="s">
        <v>458</v>
      </c>
      <c r="AZ71" s="5" t="s">
        <v>458</v>
      </c>
      <c r="BA71" s="5" t="s">
        <v>458</v>
      </c>
      <c r="BB71" s="5" t="s">
        <v>458</v>
      </c>
      <c r="BC71" s="5" t="s">
        <v>458</v>
      </c>
      <c r="BD71" s="5" t="s">
        <v>458</v>
      </c>
    </row>
    <row r="72" spans="1:56" s="19" customFormat="1" ht="16" x14ac:dyDescent="0.2">
      <c r="A72" s="319">
        <v>13</v>
      </c>
      <c r="B72" s="320">
        <v>5</v>
      </c>
      <c r="C72" s="326" t="s">
        <v>61</v>
      </c>
      <c r="D72" s="19">
        <v>8.8239900000000002</v>
      </c>
      <c r="E72" s="19">
        <v>11.57436</v>
      </c>
      <c r="F72" s="19">
        <v>14.09548</v>
      </c>
      <c r="G72" s="19">
        <v>16.616670000000003</v>
      </c>
      <c r="H72" s="19">
        <v>21.111439999999998</v>
      </c>
      <c r="I72" s="19">
        <v>24.982230000000001</v>
      </c>
      <c r="J72" s="19">
        <v>27.618009999999998</v>
      </c>
      <c r="K72" s="19">
        <v>30.024540000000002</v>
      </c>
      <c r="L72" s="19">
        <v>32.660319999999999</v>
      </c>
      <c r="M72" s="19">
        <v>35.181440000000002</v>
      </c>
      <c r="N72" s="19">
        <v>37.587970000000006</v>
      </c>
      <c r="O72" s="19">
        <v>41.140540000000001</v>
      </c>
      <c r="P72" s="19">
        <v>43.890840000000004</v>
      </c>
      <c r="Q72" s="19">
        <v>46.641210000000001</v>
      </c>
      <c r="R72" s="19">
        <v>49.047740000000005</v>
      </c>
      <c r="S72" s="19">
        <v>51.683520000000001</v>
      </c>
      <c r="T72" s="19">
        <v>55.694380000000002</v>
      </c>
      <c r="U72" s="19">
        <v>57.98639</v>
      </c>
      <c r="V72" s="19">
        <v>60.507509999999996</v>
      </c>
      <c r="W72" s="19">
        <v>63.143219999999999</v>
      </c>
      <c r="X72" s="19">
        <v>65.664410000000004</v>
      </c>
      <c r="Y72" s="19">
        <v>68.18553</v>
      </c>
      <c r="Z72" s="19">
        <v>70.477470000000011</v>
      </c>
      <c r="AA72" s="19">
        <v>72.311049999999994</v>
      </c>
      <c r="AB72" s="19">
        <v>74.717579999999998</v>
      </c>
      <c r="AC72" s="19">
        <v>77.238770000000002</v>
      </c>
      <c r="AD72" s="19">
        <v>80.103659999999991</v>
      </c>
      <c r="AE72" s="19">
        <v>82.395600000000002</v>
      </c>
      <c r="AF72" s="19">
        <v>84.343770000000006</v>
      </c>
      <c r="AG72" s="19" t="s">
        <v>458</v>
      </c>
      <c r="AH72" s="19" t="s">
        <v>458</v>
      </c>
      <c r="AI72" s="19" t="s">
        <v>458</v>
      </c>
      <c r="AJ72" s="19" t="s">
        <v>458</v>
      </c>
      <c r="AK72" s="19" t="s">
        <v>458</v>
      </c>
      <c r="AL72" s="19" t="s">
        <v>458</v>
      </c>
      <c r="AM72" s="19" t="s">
        <v>458</v>
      </c>
      <c r="AN72" s="19" t="s">
        <v>458</v>
      </c>
      <c r="AO72" s="19" t="s">
        <v>458</v>
      </c>
      <c r="AP72" s="19" t="s">
        <v>458</v>
      </c>
      <c r="AQ72" s="19" t="s">
        <v>458</v>
      </c>
      <c r="AR72" s="19" t="s">
        <v>458</v>
      </c>
      <c r="AS72" s="19" t="s">
        <v>458</v>
      </c>
      <c r="AT72" s="19" t="s">
        <v>458</v>
      </c>
      <c r="AU72" s="19" t="s">
        <v>458</v>
      </c>
      <c r="AV72" s="19" t="s">
        <v>458</v>
      </c>
      <c r="AW72" s="19" t="s">
        <v>458</v>
      </c>
      <c r="AX72" s="19" t="s">
        <v>458</v>
      </c>
      <c r="AY72" s="19" t="s">
        <v>458</v>
      </c>
      <c r="AZ72" s="19" t="s">
        <v>458</v>
      </c>
      <c r="BA72" s="19" t="s">
        <v>458</v>
      </c>
      <c r="BB72" s="19" t="s">
        <v>458</v>
      </c>
      <c r="BC72" s="19" t="s">
        <v>458</v>
      </c>
      <c r="BD72" s="19" t="s">
        <v>458</v>
      </c>
    </row>
    <row r="73" spans="1:56" ht="16" x14ac:dyDescent="0.2">
      <c r="A73" s="323">
        <v>14</v>
      </c>
      <c r="B73" s="324">
        <v>1</v>
      </c>
      <c r="C73" s="324" t="s">
        <v>62</v>
      </c>
      <c r="D73" s="312">
        <v>28.05302</v>
      </c>
      <c r="E73" s="312">
        <v>55.90766</v>
      </c>
      <c r="F73" s="312">
        <v>83.735569999999996</v>
      </c>
      <c r="G73" s="312">
        <v>111.94123999999999</v>
      </c>
      <c r="H73" s="5" t="s">
        <v>458</v>
      </c>
      <c r="I73" s="5" t="s">
        <v>458</v>
      </c>
      <c r="J73" s="5" t="s">
        <v>458</v>
      </c>
      <c r="K73" s="5" t="s">
        <v>458</v>
      </c>
      <c r="L73" s="5" t="s">
        <v>458</v>
      </c>
      <c r="M73" s="5" t="s">
        <v>458</v>
      </c>
      <c r="N73" s="5" t="s">
        <v>458</v>
      </c>
      <c r="O73" s="5" t="s">
        <v>458</v>
      </c>
      <c r="P73" s="5" t="s">
        <v>458</v>
      </c>
      <c r="Q73" s="5" t="s">
        <v>458</v>
      </c>
      <c r="R73" s="5" t="s">
        <v>458</v>
      </c>
      <c r="S73" s="5" t="s">
        <v>458</v>
      </c>
      <c r="T73" s="5" t="s">
        <v>458</v>
      </c>
      <c r="U73" s="5" t="s">
        <v>458</v>
      </c>
      <c r="V73" s="5" t="s">
        <v>458</v>
      </c>
      <c r="W73" s="5" t="s">
        <v>458</v>
      </c>
      <c r="X73" s="5" t="s">
        <v>458</v>
      </c>
      <c r="Y73" s="5" t="s">
        <v>458</v>
      </c>
      <c r="Z73" s="5" t="s">
        <v>458</v>
      </c>
      <c r="AA73" s="5" t="s">
        <v>458</v>
      </c>
      <c r="AB73" s="5" t="s">
        <v>458</v>
      </c>
      <c r="AC73" s="5" t="s">
        <v>458</v>
      </c>
      <c r="AD73" s="5" t="s">
        <v>458</v>
      </c>
      <c r="AE73" s="5" t="s">
        <v>458</v>
      </c>
      <c r="AF73" s="5" t="s">
        <v>458</v>
      </c>
      <c r="AG73" s="5" t="s">
        <v>458</v>
      </c>
      <c r="AH73" s="5" t="s">
        <v>458</v>
      </c>
      <c r="AI73" s="5" t="s">
        <v>458</v>
      </c>
      <c r="AJ73" s="5" t="s">
        <v>458</v>
      </c>
      <c r="AK73" s="5" t="s">
        <v>458</v>
      </c>
      <c r="AL73" s="5" t="s">
        <v>458</v>
      </c>
      <c r="AM73" s="5" t="s">
        <v>458</v>
      </c>
      <c r="AN73" s="5" t="s">
        <v>458</v>
      </c>
      <c r="AO73" s="5" t="s">
        <v>458</v>
      </c>
      <c r="AP73" s="5" t="s">
        <v>458</v>
      </c>
      <c r="AQ73" s="5" t="s">
        <v>458</v>
      </c>
      <c r="AR73" s="5" t="s">
        <v>458</v>
      </c>
      <c r="AS73" s="5" t="s">
        <v>458</v>
      </c>
      <c r="AT73" s="5" t="s">
        <v>458</v>
      </c>
      <c r="AU73" s="5" t="s">
        <v>458</v>
      </c>
      <c r="AV73" s="5" t="s">
        <v>458</v>
      </c>
      <c r="AW73" s="5" t="s">
        <v>458</v>
      </c>
      <c r="AX73" s="5" t="s">
        <v>458</v>
      </c>
      <c r="AY73" s="5" t="s">
        <v>458</v>
      </c>
      <c r="AZ73" s="5" t="s">
        <v>458</v>
      </c>
      <c r="BA73" s="5" t="s">
        <v>458</v>
      </c>
      <c r="BB73" s="5" t="s">
        <v>458</v>
      </c>
      <c r="BC73" s="5" t="s">
        <v>458</v>
      </c>
      <c r="BD73" s="5" t="s">
        <v>458</v>
      </c>
    </row>
    <row r="74" spans="1:56" ht="16" x14ac:dyDescent="0.2">
      <c r="A74" s="323">
        <v>14</v>
      </c>
      <c r="B74" s="324">
        <v>2</v>
      </c>
      <c r="C74" s="324" t="s">
        <v>63</v>
      </c>
      <c r="D74" s="5">
        <v>10.82896</v>
      </c>
      <c r="E74" s="5">
        <v>15.99161</v>
      </c>
      <c r="F74" s="5">
        <v>21.783840000000001</v>
      </c>
      <c r="G74" s="5">
        <v>26.19098</v>
      </c>
      <c r="H74" s="5">
        <v>28.079750000000001</v>
      </c>
      <c r="I74" s="5">
        <v>33.11647</v>
      </c>
      <c r="J74" s="5">
        <v>40.419730000000001</v>
      </c>
      <c r="K74" s="5">
        <v>45.960129999999999</v>
      </c>
      <c r="L74" s="5">
        <v>51.752360000000003</v>
      </c>
      <c r="M74" s="5">
        <v>55.529910000000001</v>
      </c>
      <c r="N74" s="5">
        <v>61.448059999999998</v>
      </c>
      <c r="O74" s="5">
        <v>70.640079999999998</v>
      </c>
      <c r="P74" s="5">
        <v>79.328440000000001</v>
      </c>
      <c r="Q74" s="5">
        <v>84.617000000000004</v>
      </c>
      <c r="R74" s="5">
        <v>92.046170000000004</v>
      </c>
      <c r="S74" s="5">
        <v>100.48269000000001</v>
      </c>
      <c r="T74" s="5">
        <v>104.88982</v>
      </c>
      <c r="U74" s="5">
        <v>108.54145</v>
      </c>
      <c r="V74" s="5" t="s">
        <v>458</v>
      </c>
      <c r="W74" s="5" t="s">
        <v>458</v>
      </c>
      <c r="X74" s="5" t="s">
        <v>458</v>
      </c>
      <c r="Y74" s="5" t="s">
        <v>458</v>
      </c>
      <c r="Z74" s="5" t="s">
        <v>458</v>
      </c>
      <c r="AA74" s="5" t="s">
        <v>458</v>
      </c>
      <c r="AB74" s="5" t="s">
        <v>458</v>
      </c>
      <c r="AC74" s="5" t="s">
        <v>458</v>
      </c>
      <c r="AD74" s="5" t="s">
        <v>458</v>
      </c>
      <c r="AE74" s="5" t="s">
        <v>458</v>
      </c>
      <c r="AF74" s="5" t="s">
        <v>458</v>
      </c>
      <c r="AG74" s="5" t="s">
        <v>458</v>
      </c>
      <c r="AH74" s="5" t="s">
        <v>458</v>
      </c>
      <c r="AI74" s="5" t="s">
        <v>458</v>
      </c>
      <c r="AJ74" s="5" t="s">
        <v>458</v>
      </c>
      <c r="AK74" s="5" t="s">
        <v>458</v>
      </c>
      <c r="AL74" s="5" t="s">
        <v>458</v>
      </c>
      <c r="AM74" s="5" t="s">
        <v>458</v>
      </c>
      <c r="AN74" s="5" t="s">
        <v>458</v>
      </c>
      <c r="AO74" s="5" t="s">
        <v>458</v>
      </c>
      <c r="AP74" s="5" t="s">
        <v>458</v>
      </c>
      <c r="AQ74" s="5" t="s">
        <v>458</v>
      </c>
      <c r="AR74" s="5" t="s">
        <v>458</v>
      </c>
      <c r="AS74" s="5" t="s">
        <v>458</v>
      </c>
      <c r="AT74" s="5" t="s">
        <v>458</v>
      </c>
      <c r="AU74" s="5" t="s">
        <v>458</v>
      </c>
      <c r="AV74" s="5" t="s">
        <v>458</v>
      </c>
      <c r="AW74" s="5" t="s">
        <v>458</v>
      </c>
      <c r="AX74" s="5" t="s">
        <v>458</v>
      </c>
      <c r="AY74" s="5" t="s">
        <v>458</v>
      </c>
      <c r="AZ74" s="5" t="s">
        <v>458</v>
      </c>
      <c r="BA74" s="5" t="s">
        <v>458</v>
      </c>
      <c r="BB74" s="5" t="s">
        <v>458</v>
      </c>
      <c r="BC74" s="5" t="s">
        <v>458</v>
      </c>
      <c r="BD74" s="5" t="s">
        <v>458</v>
      </c>
    </row>
    <row r="75" spans="1:56" ht="16" x14ac:dyDescent="0.2">
      <c r="A75" s="323">
        <v>14</v>
      </c>
      <c r="B75" s="324">
        <v>3</v>
      </c>
      <c r="C75" s="324" t="s">
        <v>64</v>
      </c>
      <c r="D75" s="5">
        <v>11.74394</v>
      </c>
      <c r="E75" s="5">
        <v>14.8803</v>
      </c>
      <c r="F75" s="5">
        <v>18.016670000000001</v>
      </c>
      <c r="G75" s="5">
        <v>25.700759999999999</v>
      </c>
      <c r="H75" s="5">
        <v>28.837119999999999</v>
      </c>
      <c r="I75" s="5">
        <v>31.973490000000002</v>
      </c>
      <c r="J75" s="5">
        <v>35.109850000000002</v>
      </c>
      <c r="K75" s="5">
        <v>38.246209999999998</v>
      </c>
      <c r="L75" s="5">
        <v>41.382579999999997</v>
      </c>
      <c r="M75" s="5">
        <v>45.146210000000004</v>
      </c>
      <c r="N75" s="5">
        <v>48.282580000000003</v>
      </c>
      <c r="O75" s="5">
        <v>51.418939999999999</v>
      </c>
      <c r="P75" s="5">
        <v>54.555300000000003</v>
      </c>
      <c r="Q75" s="5">
        <v>57.691670000000002</v>
      </c>
      <c r="R75" s="5">
        <v>60.828029999999998</v>
      </c>
      <c r="S75" s="5">
        <v>71.648489999999995</v>
      </c>
      <c r="T75" s="5">
        <v>74.784850000000006</v>
      </c>
      <c r="U75" s="5">
        <v>77.921210000000002</v>
      </c>
      <c r="V75" s="5">
        <v>81.057580000000002</v>
      </c>
      <c r="W75" s="5">
        <v>84.193939999999998</v>
      </c>
      <c r="X75" s="5">
        <v>87.330299999999994</v>
      </c>
      <c r="Y75" s="5">
        <v>90.466669999999993</v>
      </c>
      <c r="Z75" s="5">
        <v>93.603030000000004</v>
      </c>
      <c r="AA75" s="5">
        <v>96.739400000000003</v>
      </c>
      <c r="AB75" s="5">
        <v>99.87576</v>
      </c>
      <c r="AC75" s="5">
        <v>103.01212</v>
      </c>
      <c r="AD75" s="5">
        <v>106.14849</v>
      </c>
      <c r="AE75" s="5">
        <v>109.28485000000001</v>
      </c>
      <c r="AF75" s="5">
        <v>112.42121</v>
      </c>
      <c r="AG75" s="5" t="s">
        <v>458</v>
      </c>
      <c r="AH75" s="5" t="s">
        <v>458</v>
      </c>
      <c r="AI75" s="5" t="s">
        <v>458</v>
      </c>
      <c r="AJ75" s="5" t="s">
        <v>458</v>
      </c>
      <c r="AK75" s="5" t="s">
        <v>458</v>
      </c>
      <c r="AL75" s="5" t="s">
        <v>458</v>
      </c>
      <c r="AM75" s="5" t="s">
        <v>458</v>
      </c>
      <c r="AN75" s="5" t="s">
        <v>458</v>
      </c>
      <c r="AO75" s="5" t="s">
        <v>458</v>
      </c>
      <c r="AP75" s="5" t="s">
        <v>458</v>
      </c>
      <c r="AQ75" s="5" t="s">
        <v>458</v>
      </c>
      <c r="AR75" s="5" t="s">
        <v>458</v>
      </c>
      <c r="AS75" s="5" t="s">
        <v>458</v>
      </c>
      <c r="AT75" s="5" t="s">
        <v>458</v>
      </c>
      <c r="AU75" s="5" t="s">
        <v>458</v>
      </c>
      <c r="AV75" s="5" t="s">
        <v>458</v>
      </c>
      <c r="AW75" s="5" t="s">
        <v>458</v>
      </c>
      <c r="AX75" s="5" t="s">
        <v>458</v>
      </c>
      <c r="AY75" s="5" t="s">
        <v>458</v>
      </c>
      <c r="AZ75" s="5" t="s">
        <v>458</v>
      </c>
      <c r="BA75" s="5" t="s">
        <v>458</v>
      </c>
      <c r="BB75" s="5" t="s">
        <v>458</v>
      </c>
      <c r="BC75" s="5" t="s">
        <v>458</v>
      </c>
      <c r="BD75" s="5" t="s">
        <v>458</v>
      </c>
    </row>
    <row r="76" spans="1:56" s="19" customFormat="1" ht="16" x14ac:dyDescent="0.2">
      <c r="A76" s="328">
        <v>14</v>
      </c>
      <c r="B76" s="328">
        <v>4</v>
      </c>
      <c r="C76" s="328" t="s">
        <v>65</v>
      </c>
      <c r="D76" s="19">
        <v>2.4393899999999999</v>
      </c>
      <c r="E76" s="19">
        <v>5.9242400000000002</v>
      </c>
      <c r="F76" s="19">
        <v>11.84848</v>
      </c>
      <c r="G76" s="19">
        <v>16.0303</v>
      </c>
      <c r="H76" s="19">
        <v>21.606059999999999</v>
      </c>
      <c r="I76" s="19">
        <v>28.05302</v>
      </c>
      <c r="J76" s="19">
        <v>32.409080000000003</v>
      </c>
      <c r="K76" s="19">
        <v>38.681820000000002</v>
      </c>
      <c r="L76" s="19">
        <v>45.303019999999997</v>
      </c>
      <c r="M76" s="19">
        <v>50.007570000000001</v>
      </c>
      <c r="N76" s="19">
        <v>56.803019999999997</v>
      </c>
      <c r="O76" s="19">
        <v>58.893929999999997</v>
      </c>
      <c r="P76" s="19">
        <v>64.295450000000002</v>
      </c>
      <c r="Q76" s="19">
        <v>68.825760000000002</v>
      </c>
      <c r="R76" s="19">
        <v>71.439390000000003</v>
      </c>
      <c r="S76" s="329">
        <v>75.446960000000004</v>
      </c>
      <c r="T76" s="19">
        <v>78.409090000000006</v>
      </c>
      <c r="U76" s="19">
        <v>82.416659999999993</v>
      </c>
      <c r="V76" s="19">
        <v>84.681809999999999</v>
      </c>
      <c r="W76" s="19">
        <v>87.818179999999998</v>
      </c>
      <c r="X76" s="19">
        <v>92.522720000000007</v>
      </c>
      <c r="Y76" s="19">
        <v>95.484849999999994</v>
      </c>
      <c r="Z76" s="19">
        <v>99.840900000000005</v>
      </c>
      <c r="AA76" s="19">
        <v>103.67422999999999</v>
      </c>
      <c r="AB76" s="19">
        <v>107.68181</v>
      </c>
      <c r="AC76" s="19">
        <v>113.43182</v>
      </c>
      <c r="AD76" s="19" t="s">
        <v>458</v>
      </c>
      <c r="AE76" s="19" t="s">
        <v>458</v>
      </c>
      <c r="AF76" s="19" t="s">
        <v>458</v>
      </c>
      <c r="AG76" s="19" t="s">
        <v>458</v>
      </c>
      <c r="AH76" s="19" t="s">
        <v>458</v>
      </c>
      <c r="AI76" s="19" t="s">
        <v>458</v>
      </c>
      <c r="AJ76" s="19" t="s">
        <v>458</v>
      </c>
      <c r="AK76" s="19" t="s">
        <v>458</v>
      </c>
      <c r="AL76" s="19" t="s">
        <v>458</v>
      </c>
      <c r="AM76" s="19" t="s">
        <v>458</v>
      </c>
      <c r="AN76" s="19" t="s">
        <v>458</v>
      </c>
      <c r="AO76" s="19" t="s">
        <v>458</v>
      </c>
      <c r="AP76" s="19" t="s">
        <v>458</v>
      </c>
      <c r="AQ76" s="19" t="s">
        <v>458</v>
      </c>
      <c r="AR76" s="19" t="s">
        <v>458</v>
      </c>
      <c r="AS76" s="19" t="s">
        <v>458</v>
      </c>
      <c r="AT76" s="19" t="s">
        <v>458</v>
      </c>
      <c r="AU76" s="19" t="s">
        <v>458</v>
      </c>
      <c r="AV76" s="19" t="s">
        <v>458</v>
      </c>
      <c r="AW76" s="19" t="s">
        <v>458</v>
      </c>
      <c r="AX76" s="19" t="s">
        <v>458</v>
      </c>
      <c r="AY76" s="19" t="s">
        <v>458</v>
      </c>
      <c r="AZ76" s="19" t="s">
        <v>458</v>
      </c>
      <c r="BA76" s="19" t="s">
        <v>458</v>
      </c>
      <c r="BB76" s="19" t="s">
        <v>458</v>
      </c>
      <c r="BC76" s="19" t="s">
        <v>458</v>
      </c>
      <c r="BD76" s="19" t="s">
        <v>458</v>
      </c>
    </row>
    <row r="77" spans="1:56" ht="16" x14ac:dyDescent="0.2">
      <c r="A77" s="327">
        <v>15</v>
      </c>
      <c r="B77" s="327">
        <v>4</v>
      </c>
      <c r="C77" s="327" t="s">
        <v>29</v>
      </c>
      <c r="D77" s="5">
        <v>12.61642</v>
      </c>
      <c r="E77" s="5">
        <v>13.485519999999999</v>
      </c>
      <c r="F77" s="5">
        <v>14.354620000000001</v>
      </c>
      <c r="G77" s="5">
        <v>15.223710000000001</v>
      </c>
      <c r="H77" s="5">
        <v>17.65719</v>
      </c>
      <c r="I77" s="5">
        <v>18.526289999999999</v>
      </c>
      <c r="J77" s="5">
        <v>19.395389999999999</v>
      </c>
      <c r="K77" s="5">
        <v>20.264489999999999</v>
      </c>
      <c r="L77" s="5">
        <v>21.177040000000002</v>
      </c>
      <c r="M77" s="5">
        <v>22.002680000000002</v>
      </c>
      <c r="N77" s="5">
        <v>22.35032</v>
      </c>
      <c r="O77" s="5">
        <v>22.741420000000002</v>
      </c>
      <c r="P77" s="5">
        <v>23.08906</v>
      </c>
      <c r="Q77" s="5">
        <v>23.436699999999998</v>
      </c>
      <c r="R77" s="5">
        <v>24.088519999999999</v>
      </c>
      <c r="S77" s="5">
        <v>24.349250000000001</v>
      </c>
      <c r="T77" s="5">
        <v>24.69689</v>
      </c>
      <c r="U77" s="5">
        <v>25.001080000000002</v>
      </c>
      <c r="V77" s="5">
        <v>25.348710000000001</v>
      </c>
      <c r="W77" s="5">
        <v>25.696349999999999</v>
      </c>
      <c r="X77" s="5">
        <v>26.043990000000001</v>
      </c>
      <c r="Y77" s="5">
        <v>26.391629999999999</v>
      </c>
      <c r="Z77" s="5">
        <v>26.695820000000001</v>
      </c>
      <c r="AA77" s="14">
        <v>27.08691</v>
      </c>
      <c r="AB77" s="5">
        <v>27.564920000000001</v>
      </c>
      <c r="AC77" s="5">
        <v>28.042919999999999</v>
      </c>
      <c r="AD77" s="5">
        <v>28.43402</v>
      </c>
      <c r="AE77" s="5">
        <v>28.912019999999998</v>
      </c>
      <c r="AF77" s="5">
        <v>30.78058</v>
      </c>
      <c r="AG77" s="5">
        <v>31.64968</v>
      </c>
      <c r="AH77" s="5">
        <v>32.51878</v>
      </c>
      <c r="AI77" s="5">
        <v>33.387880000000003</v>
      </c>
      <c r="AJ77" s="5">
        <v>34.126609999999999</v>
      </c>
      <c r="AK77" s="5">
        <v>34.952260000000003</v>
      </c>
      <c r="AL77" s="5">
        <v>36.516629999999999</v>
      </c>
      <c r="AM77" s="5">
        <v>37.559550000000002</v>
      </c>
      <c r="AN77" s="5">
        <v>38.428649999999998</v>
      </c>
      <c r="AO77" s="5">
        <v>39.297750000000001</v>
      </c>
      <c r="AP77" s="5">
        <v>40.166849999999997</v>
      </c>
      <c r="AQ77" s="5">
        <v>41.03595</v>
      </c>
      <c r="AR77" s="5" t="s">
        <v>458</v>
      </c>
      <c r="AS77" s="5" t="s">
        <v>458</v>
      </c>
      <c r="AT77" s="5" t="s">
        <v>458</v>
      </c>
      <c r="AU77" s="5" t="s">
        <v>458</v>
      </c>
      <c r="AV77" s="5" t="s">
        <v>458</v>
      </c>
      <c r="AW77" s="5" t="s">
        <v>458</v>
      </c>
      <c r="AX77" s="5" t="s">
        <v>458</v>
      </c>
      <c r="AY77" s="5" t="s">
        <v>458</v>
      </c>
      <c r="AZ77" s="5" t="s">
        <v>458</v>
      </c>
      <c r="BA77" s="5" t="s">
        <v>458</v>
      </c>
      <c r="BB77" s="5" t="s">
        <v>458</v>
      </c>
      <c r="BC77" s="5" t="s">
        <v>458</v>
      </c>
      <c r="BD77" s="5" t="s">
        <v>458</v>
      </c>
    </row>
    <row r="78" spans="1:56" ht="16" x14ac:dyDescent="0.2">
      <c r="A78" s="323">
        <v>15</v>
      </c>
      <c r="B78" s="324">
        <v>5</v>
      </c>
      <c r="C78" s="324" t="s">
        <v>66</v>
      </c>
      <c r="D78" s="5">
        <v>12.051500000000001</v>
      </c>
      <c r="E78" s="5">
        <v>12.9206</v>
      </c>
      <c r="F78" s="5">
        <v>13.7897</v>
      </c>
      <c r="G78" s="5">
        <v>14.83262</v>
      </c>
      <c r="H78" s="5">
        <v>16.126609999999999</v>
      </c>
      <c r="I78" s="5">
        <v>17.188839999999999</v>
      </c>
      <c r="J78" s="5">
        <v>19.612660000000002</v>
      </c>
      <c r="K78" s="5">
        <v>20.481760000000001</v>
      </c>
      <c r="L78" s="5">
        <v>21.133590000000002</v>
      </c>
      <c r="M78" s="5">
        <v>21.785409999999999</v>
      </c>
      <c r="N78" s="5">
        <v>22.002680000000002</v>
      </c>
      <c r="O78" s="5">
        <v>22.30687</v>
      </c>
      <c r="P78" s="5">
        <v>22.611049999999999</v>
      </c>
      <c r="Q78" s="5">
        <v>22.871780000000001</v>
      </c>
      <c r="R78" s="5">
        <v>23.13251</v>
      </c>
      <c r="S78" s="5">
        <v>23.393239999999999</v>
      </c>
      <c r="T78" s="14">
        <v>23.697430000000001</v>
      </c>
      <c r="U78" s="5">
        <v>24.093350000000001</v>
      </c>
      <c r="V78" s="5">
        <v>25.203859999999999</v>
      </c>
      <c r="W78" s="5">
        <v>25.879829999999998</v>
      </c>
      <c r="X78" s="5">
        <v>26.942060000000001</v>
      </c>
      <c r="Y78" s="5">
        <v>27.956009999999999</v>
      </c>
      <c r="Z78" s="5">
        <v>28.47747</v>
      </c>
      <c r="AA78" s="5">
        <v>29.042380000000001</v>
      </c>
      <c r="AB78" s="5">
        <v>29.607299999999999</v>
      </c>
      <c r="AC78" s="5">
        <v>29.998390000000001</v>
      </c>
      <c r="AD78" s="5">
        <v>30.12876</v>
      </c>
      <c r="AE78" s="5">
        <v>30.997859999999999</v>
      </c>
      <c r="AF78" s="5">
        <v>31.866959999999999</v>
      </c>
      <c r="AG78" s="5">
        <v>32.736049999999999</v>
      </c>
      <c r="AH78" s="5">
        <v>33.605150000000002</v>
      </c>
      <c r="AI78" s="5">
        <v>34.083159999999999</v>
      </c>
      <c r="AJ78" s="5">
        <v>34.865349999999999</v>
      </c>
      <c r="AK78" s="5">
        <v>35.734450000000002</v>
      </c>
      <c r="AL78" s="5">
        <v>36.864269999999998</v>
      </c>
      <c r="AM78" s="5">
        <v>37.472639999999998</v>
      </c>
      <c r="AN78" s="5">
        <v>38.341740000000001</v>
      </c>
      <c r="AO78" s="5">
        <v>39.210839999999997</v>
      </c>
      <c r="AP78" s="5">
        <v>40.079940000000001</v>
      </c>
      <c r="AQ78" s="5">
        <v>40.949039999999997</v>
      </c>
      <c r="AR78" s="5">
        <v>41.81814</v>
      </c>
      <c r="AS78" s="5">
        <v>42.687240000000003</v>
      </c>
      <c r="AT78" s="5" t="s">
        <v>458</v>
      </c>
      <c r="AU78" s="5" t="s">
        <v>458</v>
      </c>
      <c r="AV78" s="5" t="s">
        <v>458</v>
      </c>
      <c r="AW78" s="5" t="s">
        <v>458</v>
      </c>
      <c r="AX78" s="5" t="s">
        <v>458</v>
      </c>
      <c r="AY78" s="5" t="s">
        <v>458</v>
      </c>
      <c r="AZ78" s="5" t="s">
        <v>458</v>
      </c>
      <c r="BA78" s="5" t="s">
        <v>458</v>
      </c>
      <c r="BB78" s="5" t="s">
        <v>458</v>
      </c>
      <c r="BC78" s="5" t="s">
        <v>458</v>
      </c>
      <c r="BD78" s="5" t="s">
        <v>458</v>
      </c>
    </row>
    <row r="79" spans="1:56" s="19" customFormat="1" ht="16" x14ac:dyDescent="0.2">
      <c r="A79" s="325">
        <v>15</v>
      </c>
      <c r="B79" s="326">
        <v>6</v>
      </c>
      <c r="C79" s="326" t="s">
        <v>67</v>
      </c>
      <c r="D79" s="19">
        <v>15.484439999999999</v>
      </c>
      <c r="E79" s="19">
        <v>16.353539999999999</v>
      </c>
      <c r="F79" s="19">
        <v>17.222639999999998</v>
      </c>
      <c r="G79" s="19">
        <v>18.091740000000001</v>
      </c>
      <c r="H79" s="19">
        <v>18.960840000000001</v>
      </c>
      <c r="I79" s="19">
        <v>19.829940000000001</v>
      </c>
      <c r="J79" s="19">
        <v>20.69904</v>
      </c>
      <c r="K79" s="19">
        <v>21.307410000000001</v>
      </c>
      <c r="L79" s="19">
        <v>21.872319999999998</v>
      </c>
      <c r="M79" s="19">
        <v>22.39378</v>
      </c>
      <c r="N79" s="19">
        <v>22.958690000000001</v>
      </c>
      <c r="O79" s="19">
        <v>23.480149999999998</v>
      </c>
      <c r="P79" s="19">
        <v>23.958159999999999</v>
      </c>
      <c r="Q79" s="19">
        <v>24.392710000000001</v>
      </c>
      <c r="R79" s="19">
        <v>24.783799999999999</v>
      </c>
      <c r="S79" s="19">
        <v>25.174900000000001</v>
      </c>
      <c r="T79" s="19">
        <v>25.565989999999999</v>
      </c>
      <c r="U79" s="19">
        <v>25.957080000000001</v>
      </c>
      <c r="V79" s="19">
        <v>26.348179999999999</v>
      </c>
      <c r="W79" s="19">
        <v>26.739270000000001</v>
      </c>
      <c r="X79" s="19">
        <v>27.217279999999999</v>
      </c>
      <c r="Y79" s="19">
        <v>27.82565</v>
      </c>
      <c r="Z79" s="19">
        <v>28.43402</v>
      </c>
      <c r="AA79" s="19">
        <v>29.042380000000001</v>
      </c>
      <c r="AB79" s="19">
        <v>29.607299999999999</v>
      </c>
      <c r="AC79" s="19">
        <v>30.302579999999999</v>
      </c>
      <c r="AD79" s="19">
        <v>31.128219999999999</v>
      </c>
      <c r="AE79" s="19">
        <v>31.997319999999998</v>
      </c>
      <c r="AF79" s="19">
        <v>32.779510000000002</v>
      </c>
      <c r="AG79" s="19">
        <v>33.648609999999998</v>
      </c>
      <c r="AH79" s="19">
        <v>34.300429999999999</v>
      </c>
      <c r="AI79" s="19">
        <v>34.865349999999999</v>
      </c>
      <c r="AJ79" s="19">
        <v>35.386809999999997</v>
      </c>
      <c r="AK79" s="19">
        <v>35.951720000000002</v>
      </c>
      <c r="AL79" s="19">
        <v>36.516629999999999</v>
      </c>
      <c r="AM79" s="19">
        <v>37.168460000000003</v>
      </c>
      <c r="AN79" s="19">
        <v>38.037559999999999</v>
      </c>
      <c r="AO79" s="19">
        <v>38.906660000000002</v>
      </c>
      <c r="AP79" s="19">
        <v>39.775750000000002</v>
      </c>
      <c r="AQ79" s="19">
        <v>40.644849999999998</v>
      </c>
      <c r="AR79" s="19">
        <v>41.513950000000001</v>
      </c>
      <c r="AS79" s="19">
        <v>42.383049999999997</v>
      </c>
      <c r="AT79" s="19">
        <v>43.25215</v>
      </c>
      <c r="AU79" s="19">
        <v>44.121250000000003</v>
      </c>
      <c r="AV79" s="19" t="s">
        <v>458</v>
      </c>
      <c r="AW79" s="19" t="s">
        <v>458</v>
      </c>
      <c r="AX79" s="19" t="s">
        <v>458</v>
      </c>
      <c r="AY79" s="19" t="s">
        <v>458</v>
      </c>
      <c r="AZ79" s="19" t="s">
        <v>458</v>
      </c>
      <c r="BA79" s="19" t="s">
        <v>458</v>
      </c>
      <c r="BB79" s="19" t="s">
        <v>458</v>
      </c>
      <c r="BC79" s="19" t="s">
        <v>458</v>
      </c>
      <c r="BD79" s="19" t="s">
        <v>458</v>
      </c>
    </row>
    <row r="80" spans="1:56" x14ac:dyDescent="0.2">
      <c r="A80" s="317">
        <v>16</v>
      </c>
      <c r="B80" s="318" t="s">
        <v>349</v>
      </c>
      <c r="C80" s="318" t="s">
        <v>29</v>
      </c>
      <c r="D80" s="5">
        <v>30</v>
      </c>
      <c r="E80" s="5" t="s">
        <v>458</v>
      </c>
      <c r="F80" s="5" t="s">
        <v>458</v>
      </c>
      <c r="G80" s="5" t="s">
        <v>458</v>
      </c>
      <c r="H80" s="5" t="s">
        <v>458</v>
      </c>
      <c r="I80" s="5" t="s">
        <v>458</v>
      </c>
      <c r="J80" s="5" t="s">
        <v>458</v>
      </c>
      <c r="K80" s="5" t="s">
        <v>458</v>
      </c>
      <c r="L80" s="5" t="s">
        <v>458</v>
      </c>
      <c r="M80" s="5" t="s">
        <v>458</v>
      </c>
      <c r="N80" s="5" t="s">
        <v>458</v>
      </c>
      <c r="O80" s="5" t="s">
        <v>458</v>
      </c>
      <c r="P80" s="5" t="s">
        <v>458</v>
      </c>
      <c r="Q80" s="5" t="s">
        <v>458</v>
      </c>
      <c r="R80" s="5" t="s">
        <v>458</v>
      </c>
      <c r="S80" s="5" t="s">
        <v>458</v>
      </c>
      <c r="T80" s="5" t="s">
        <v>458</v>
      </c>
      <c r="U80" s="5" t="s">
        <v>458</v>
      </c>
      <c r="V80" s="5" t="s">
        <v>458</v>
      </c>
      <c r="W80" s="5" t="s">
        <v>458</v>
      </c>
      <c r="X80" s="5" t="s">
        <v>458</v>
      </c>
      <c r="Y80" s="5" t="s">
        <v>458</v>
      </c>
      <c r="Z80" s="5" t="s">
        <v>458</v>
      </c>
      <c r="AA80" s="5" t="s">
        <v>458</v>
      </c>
      <c r="AB80" s="5" t="s">
        <v>458</v>
      </c>
      <c r="AC80" s="5" t="s">
        <v>458</v>
      </c>
      <c r="AD80" s="5" t="s">
        <v>458</v>
      </c>
      <c r="AE80" s="5" t="s">
        <v>458</v>
      </c>
      <c r="AF80" s="5" t="s">
        <v>458</v>
      </c>
      <c r="AG80" s="5" t="s">
        <v>458</v>
      </c>
      <c r="AH80" s="5" t="s">
        <v>458</v>
      </c>
      <c r="AI80" s="5" t="s">
        <v>458</v>
      </c>
      <c r="AJ80" s="5" t="s">
        <v>458</v>
      </c>
      <c r="AK80" s="5" t="s">
        <v>458</v>
      </c>
      <c r="AL80" s="5" t="s">
        <v>458</v>
      </c>
      <c r="AM80" s="5" t="s">
        <v>458</v>
      </c>
      <c r="AN80" s="5" t="s">
        <v>458</v>
      </c>
      <c r="AO80" s="5" t="s">
        <v>458</v>
      </c>
      <c r="AP80" s="5" t="s">
        <v>458</v>
      </c>
      <c r="AQ80" s="5" t="s">
        <v>458</v>
      </c>
      <c r="AR80" s="5" t="s">
        <v>458</v>
      </c>
      <c r="AS80" s="5" t="s">
        <v>458</v>
      </c>
      <c r="AT80" s="5" t="s">
        <v>458</v>
      </c>
      <c r="AU80" s="5" t="s">
        <v>458</v>
      </c>
      <c r="AV80" s="5" t="s">
        <v>458</v>
      </c>
      <c r="AW80" s="5" t="s">
        <v>458</v>
      </c>
      <c r="AX80" s="5" t="s">
        <v>458</v>
      </c>
      <c r="AY80" s="5" t="s">
        <v>458</v>
      </c>
      <c r="AZ80" s="5" t="s">
        <v>458</v>
      </c>
      <c r="BA80" s="5" t="s">
        <v>458</v>
      </c>
      <c r="BB80" s="5" t="s">
        <v>458</v>
      </c>
      <c r="BC80" s="5" t="s">
        <v>458</v>
      </c>
      <c r="BD80" s="5" t="s">
        <v>458</v>
      </c>
    </row>
    <row r="81" spans="1:56" x14ac:dyDescent="0.2">
      <c r="A81" s="317">
        <v>16</v>
      </c>
      <c r="B81" s="318" t="s">
        <v>350</v>
      </c>
      <c r="C81" s="318" t="s">
        <v>29</v>
      </c>
      <c r="D81" s="5">
        <v>30</v>
      </c>
      <c r="E81" s="5" t="s">
        <v>458</v>
      </c>
      <c r="F81" s="5" t="s">
        <v>458</v>
      </c>
      <c r="G81" s="5" t="s">
        <v>458</v>
      </c>
      <c r="H81" s="5" t="s">
        <v>458</v>
      </c>
      <c r="I81" s="5" t="s">
        <v>458</v>
      </c>
      <c r="J81" s="5" t="s">
        <v>458</v>
      </c>
      <c r="K81" s="5" t="s">
        <v>458</v>
      </c>
      <c r="L81" s="5" t="s">
        <v>458</v>
      </c>
      <c r="M81" s="5" t="s">
        <v>458</v>
      </c>
      <c r="N81" s="5" t="s">
        <v>458</v>
      </c>
      <c r="O81" s="5" t="s">
        <v>458</v>
      </c>
      <c r="P81" s="5" t="s">
        <v>458</v>
      </c>
      <c r="Q81" s="5" t="s">
        <v>458</v>
      </c>
      <c r="R81" s="5" t="s">
        <v>458</v>
      </c>
      <c r="S81" s="5" t="s">
        <v>458</v>
      </c>
      <c r="T81" s="5" t="s">
        <v>458</v>
      </c>
      <c r="U81" s="5" t="s">
        <v>458</v>
      </c>
      <c r="V81" s="5" t="s">
        <v>458</v>
      </c>
      <c r="W81" s="5" t="s">
        <v>458</v>
      </c>
      <c r="X81" s="5" t="s">
        <v>458</v>
      </c>
      <c r="Y81" s="5" t="s">
        <v>458</v>
      </c>
      <c r="Z81" s="5" t="s">
        <v>458</v>
      </c>
      <c r="AA81" s="5" t="s">
        <v>458</v>
      </c>
      <c r="AB81" s="5" t="s">
        <v>458</v>
      </c>
      <c r="AC81" s="5" t="s">
        <v>458</v>
      </c>
      <c r="AD81" s="5" t="s">
        <v>458</v>
      </c>
      <c r="AE81" s="5" t="s">
        <v>458</v>
      </c>
      <c r="AF81" s="5" t="s">
        <v>458</v>
      </c>
      <c r="AG81" s="5" t="s">
        <v>458</v>
      </c>
      <c r="AH81" s="5" t="s">
        <v>458</v>
      </c>
      <c r="AI81" s="5" t="s">
        <v>458</v>
      </c>
      <c r="AJ81" s="5" t="s">
        <v>458</v>
      </c>
      <c r="AK81" s="5" t="s">
        <v>458</v>
      </c>
      <c r="AL81" s="5" t="s">
        <v>458</v>
      </c>
      <c r="AM81" s="5" t="s">
        <v>458</v>
      </c>
      <c r="AN81" s="5" t="s">
        <v>458</v>
      </c>
      <c r="AO81" s="5" t="s">
        <v>458</v>
      </c>
      <c r="AP81" s="5" t="s">
        <v>458</v>
      </c>
      <c r="AQ81" s="5" t="s">
        <v>458</v>
      </c>
      <c r="AR81" s="5" t="s">
        <v>458</v>
      </c>
      <c r="AS81" s="5" t="s">
        <v>458</v>
      </c>
      <c r="AT81" s="5" t="s">
        <v>458</v>
      </c>
      <c r="AU81" s="5" t="s">
        <v>458</v>
      </c>
      <c r="AV81" s="5" t="s">
        <v>458</v>
      </c>
      <c r="AW81" s="5" t="s">
        <v>458</v>
      </c>
      <c r="AX81" s="5" t="s">
        <v>458</v>
      </c>
      <c r="AY81" s="5" t="s">
        <v>458</v>
      </c>
      <c r="AZ81" s="5" t="s">
        <v>458</v>
      </c>
      <c r="BA81" s="5" t="s">
        <v>458</v>
      </c>
      <c r="BB81" s="5" t="s">
        <v>458</v>
      </c>
      <c r="BC81" s="5" t="s">
        <v>458</v>
      </c>
      <c r="BD81" s="5" t="s">
        <v>458</v>
      </c>
    </row>
    <row r="82" spans="1:56" x14ac:dyDescent="0.2">
      <c r="A82" s="331">
        <v>16</v>
      </c>
      <c r="B82" s="331" t="s">
        <v>351</v>
      </c>
      <c r="C82" s="331" t="s">
        <v>29</v>
      </c>
      <c r="D82" s="5">
        <v>30</v>
      </c>
      <c r="E82" s="5" t="s">
        <v>458</v>
      </c>
      <c r="F82" s="5" t="s">
        <v>458</v>
      </c>
      <c r="G82" s="5" t="s">
        <v>458</v>
      </c>
      <c r="H82" s="5" t="s">
        <v>458</v>
      </c>
      <c r="I82" s="5" t="s">
        <v>458</v>
      </c>
      <c r="J82" s="5" t="s">
        <v>458</v>
      </c>
      <c r="K82" s="5" t="s">
        <v>458</v>
      </c>
      <c r="L82" s="5" t="s">
        <v>458</v>
      </c>
      <c r="M82" s="5" t="s">
        <v>458</v>
      </c>
      <c r="N82" s="5" t="s">
        <v>458</v>
      </c>
      <c r="O82" s="5" t="s">
        <v>458</v>
      </c>
      <c r="P82" s="5" t="s">
        <v>458</v>
      </c>
      <c r="Q82" s="5" t="s">
        <v>458</v>
      </c>
      <c r="R82" s="5" t="s">
        <v>458</v>
      </c>
      <c r="S82" s="5" t="s">
        <v>458</v>
      </c>
      <c r="T82" s="5" t="s">
        <v>458</v>
      </c>
      <c r="U82" s="5" t="s">
        <v>458</v>
      </c>
      <c r="V82" s="5" t="s">
        <v>458</v>
      </c>
      <c r="W82" s="5" t="s">
        <v>458</v>
      </c>
      <c r="X82" s="5" t="s">
        <v>458</v>
      </c>
      <c r="Y82" s="5" t="s">
        <v>458</v>
      </c>
      <c r="Z82" s="5" t="s">
        <v>458</v>
      </c>
      <c r="AA82" s="5" t="s">
        <v>458</v>
      </c>
      <c r="AB82" s="5" t="s">
        <v>458</v>
      </c>
      <c r="AC82" s="5" t="s">
        <v>458</v>
      </c>
      <c r="AD82" s="5" t="s">
        <v>458</v>
      </c>
      <c r="AE82" s="5" t="s">
        <v>458</v>
      </c>
      <c r="AF82" s="5" t="s">
        <v>458</v>
      </c>
      <c r="AG82" s="5" t="s">
        <v>458</v>
      </c>
      <c r="AH82" s="5" t="s">
        <v>458</v>
      </c>
      <c r="AI82" s="5" t="s">
        <v>458</v>
      </c>
      <c r="AJ82" s="5" t="s">
        <v>458</v>
      </c>
      <c r="AK82" s="5" t="s">
        <v>458</v>
      </c>
      <c r="AL82" s="5" t="s">
        <v>458</v>
      </c>
      <c r="AM82" s="5" t="s">
        <v>458</v>
      </c>
      <c r="AN82" s="5" t="s">
        <v>458</v>
      </c>
      <c r="AO82" s="5" t="s">
        <v>458</v>
      </c>
      <c r="AP82" s="5" t="s">
        <v>458</v>
      </c>
      <c r="AQ82" s="5" t="s">
        <v>458</v>
      </c>
      <c r="AR82" s="5" t="s">
        <v>458</v>
      </c>
      <c r="AS82" s="5" t="s">
        <v>458</v>
      </c>
      <c r="AT82" s="5" t="s">
        <v>458</v>
      </c>
      <c r="AU82" s="5" t="s">
        <v>458</v>
      </c>
      <c r="AV82" s="5" t="s">
        <v>458</v>
      </c>
      <c r="AW82" s="5" t="s">
        <v>458</v>
      </c>
      <c r="AX82" s="5" t="s">
        <v>458</v>
      </c>
      <c r="AY82" s="5" t="s">
        <v>458</v>
      </c>
      <c r="AZ82" s="5" t="s">
        <v>458</v>
      </c>
      <c r="BA82" s="5" t="s">
        <v>458</v>
      </c>
      <c r="BB82" s="5" t="s">
        <v>458</v>
      </c>
      <c r="BC82" s="5" t="s">
        <v>458</v>
      </c>
      <c r="BD82" s="5" t="s">
        <v>458</v>
      </c>
    </row>
    <row r="83" spans="1:56" x14ac:dyDescent="0.2">
      <c r="A83" s="317">
        <v>16</v>
      </c>
      <c r="B83" s="318" t="s">
        <v>352</v>
      </c>
      <c r="C83" s="318" t="s">
        <v>68</v>
      </c>
      <c r="D83" s="5">
        <v>30</v>
      </c>
      <c r="E83" s="5" t="s">
        <v>458</v>
      </c>
      <c r="F83" s="5" t="s">
        <v>458</v>
      </c>
      <c r="G83" s="5" t="s">
        <v>458</v>
      </c>
      <c r="H83" s="5" t="s">
        <v>458</v>
      </c>
      <c r="I83" s="5" t="s">
        <v>458</v>
      </c>
      <c r="J83" s="5" t="s">
        <v>458</v>
      </c>
      <c r="K83" s="5" t="s">
        <v>458</v>
      </c>
      <c r="L83" s="5" t="s">
        <v>458</v>
      </c>
      <c r="M83" s="5" t="s">
        <v>458</v>
      </c>
      <c r="N83" s="5" t="s">
        <v>458</v>
      </c>
      <c r="O83" s="5" t="s">
        <v>458</v>
      </c>
      <c r="P83" s="5" t="s">
        <v>458</v>
      </c>
      <c r="Q83" s="5" t="s">
        <v>458</v>
      </c>
      <c r="R83" s="5" t="s">
        <v>458</v>
      </c>
      <c r="S83" s="5" t="s">
        <v>458</v>
      </c>
      <c r="T83" s="5" t="s">
        <v>458</v>
      </c>
      <c r="U83" s="5" t="s">
        <v>458</v>
      </c>
      <c r="V83" s="5" t="s">
        <v>458</v>
      </c>
      <c r="W83" s="5" t="s">
        <v>458</v>
      </c>
      <c r="X83" s="5" t="s">
        <v>458</v>
      </c>
      <c r="Y83" s="5" t="s">
        <v>458</v>
      </c>
      <c r="Z83" s="5" t="s">
        <v>458</v>
      </c>
      <c r="AA83" s="5" t="s">
        <v>458</v>
      </c>
      <c r="AB83" s="5" t="s">
        <v>458</v>
      </c>
      <c r="AC83" s="5" t="s">
        <v>458</v>
      </c>
      <c r="AD83" s="5" t="s">
        <v>458</v>
      </c>
      <c r="AE83" s="5" t="s">
        <v>458</v>
      </c>
      <c r="AF83" s="5" t="s">
        <v>458</v>
      </c>
      <c r="AG83" s="5" t="s">
        <v>458</v>
      </c>
      <c r="AH83" s="5" t="s">
        <v>458</v>
      </c>
      <c r="AI83" s="5" t="s">
        <v>458</v>
      </c>
      <c r="AJ83" s="5" t="s">
        <v>458</v>
      </c>
      <c r="AK83" s="5" t="s">
        <v>458</v>
      </c>
      <c r="AL83" s="5" t="s">
        <v>458</v>
      </c>
      <c r="AM83" s="5" t="s">
        <v>458</v>
      </c>
      <c r="AN83" s="5" t="s">
        <v>458</v>
      </c>
      <c r="AO83" s="5" t="s">
        <v>458</v>
      </c>
      <c r="AP83" s="5" t="s">
        <v>458</v>
      </c>
      <c r="AQ83" s="5" t="s">
        <v>458</v>
      </c>
      <c r="AR83" s="5" t="s">
        <v>458</v>
      </c>
      <c r="AS83" s="5" t="s">
        <v>458</v>
      </c>
      <c r="AT83" s="5" t="s">
        <v>458</v>
      </c>
      <c r="AU83" s="5" t="s">
        <v>458</v>
      </c>
      <c r="AV83" s="5" t="s">
        <v>458</v>
      </c>
      <c r="AW83" s="5" t="s">
        <v>458</v>
      </c>
      <c r="AX83" s="5" t="s">
        <v>458</v>
      </c>
      <c r="AY83" s="5" t="s">
        <v>458</v>
      </c>
      <c r="AZ83" s="5" t="s">
        <v>458</v>
      </c>
      <c r="BA83" s="5" t="s">
        <v>458</v>
      </c>
      <c r="BB83" s="5" t="s">
        <v>458</v>
      </c>
      <c r="BC83" s="5" t="s">
        <v>458</v>
      </c>
      <c r="BD83" s="5" t="s">
        <v>458</v>
      </c>
    </row>
    <row r="84" spans="1:56" x14ac:dyDescent="0.2">
      <c r="A84" s="317">
        <v>16</v>
      </c>
      <c r="B84" s="330" t="s">
        <v>353</v>
      </c>
      <c r="C84" s="331" t="s">
        <v>68</v>
      </c>
      <c r="D84" s="5">
        <v>30</v>
      </c>
      <c r="E84" s="5" t="s">
        <v>458</v>
      </c>
      <c r="F84" s="5" t="s">
        <v>458</v>
      </c>
      <c r="G84" s="5" t="s">
        <v>458</v>
      </c>
      <c r="H84" s="5" t="s">
        <v>458</v>
      </c>
      <c r="I84" s="5" t="s">
        <v>458</v>
      </c>
      <c r="J84" s="5" t="s">
        <v>458</v>
      </c>
      <c r="K84" s="5" t="s">
        <v>458</v>
      </c>
      <c r="L84" s="5" t="s">
        <v>458</v>
      </c>
      <c r="M84" s="5" t="s">
        <v>458</v>
      </c>
      <c r="N84" s="5" t="s">
        <v>458</v>
      </c>
      <c r="O84" s="5" t="s">
        <v>458</v>
      </c>
      <c r="P84" s="5" t="s">
        <v>458</v>
      </c>
      <c r="Q84" s="5" t="s">
        <v>458</v>
      </c>
      <c r="R84" s="5" t="s">
        <v>458</v>
      </c>
      <c r="S84" s="5" t="s">
        <v>458</v>
      </c>
      <c r="T84" s="5" t="s">
        <v>458</v>
      </c>
      <c r="U84" s="5" t="s">
        <v>458</v>
      </c>
      <c r="V84" s="5" t="s">
        <v>458</v>
      </c>
      <c r="W84" s="5" t="s">
        <v>458</v>
      </c>
      <c r="X84" s="5" t="s">
        <v>458</v>
      </c>
      <c r="Y84" s="5" t="s">
        <v>458</v>
      </c>
      <c r="Z84" s="5" t="s">
        <v>458</v>
      </c>
      <c r="AA84" s="5" t="s">
        <v>458</v>
      </c>
      <c r="AB84" s="5" t="s">
        <v>458</v>
      </c>
      <c r="AC84" s="5" t="s">
        <v>458</v>
      </c>
      <c r="AD84" s="5" t="s">
        <v>458</v>
      </c>
      <c r="AE84" s="5" t="s">
        <v>458</v>
      </c>
      <c r="AF84" s="5" t="s">
        <v>458</v>
      </c>
      <c r="AG84" s="5" t="s">
        <v>458</v>
      </c>
      <c r="AH84" s="5" t="s">
        <v>458</v>
      </c>
      <c r="AI84" s="5" t="s">
        <v>458</v>
      </c>
      <c r="AJ84" s="5" t="s">
        <v>458</v>
      </c>
      <c r="AK84" s="5" t="s">
        <v>458</v>
      </c>
      <c r="AL84" s="5" t="s">
        <v>458</v>
      </c>
      <c r="AM84" s="5" t="s">
        <v>458</v>
      </c>
      <c r="AN84" s="5" t="s">
        <v>458</v>
      </c>
      <c r="AO84" s="5" t="s">
        <v>458</v>
      </c>
      <c r="AP84" s="5" t="s">
        <v>458</v>
      </c>
      <c r="AQ84" s="5" t="s">
        <v>458</v>
      </c>
      <c r="AR84" s="5" t="s">
        <v>458</v>
      </c>
      <c r="AS84" s="5" t="s">
        <v>458</v>
      </c>
      <c r="AT84" s="5" t="s">
        <v>458</v>
      </c>
      <c r="AU84" s="5" t="s">
        <v>458</v>
      </c>
      <c r="AV84" s="5" t="s">
        <v>458</v>
      </c>
      <c r="AW84" s="5" t="s">
        <v>458</v>
      </c>
      <c r="AX84" s="5" t="s">
        <v>458</v>
      </c>
      <c r="AY84" s="5" t="s">
        <v>458</v>
      </c>
      <c r="AZ84" s="5" t="s">
        <v>458</v>
      </c>
      <c r="BA84" s="5" t="s">
        <v>458</v>
      </c>
      <c r="BB84" s="5" t="s">
        <v>458</v>
      </c>
      <c r="BC84" s="5" t="s">
        <v>458</v>
      </c>
      <c r="BD84" s="5" t="s">
        <v>458</v>
      </c>
    </row>
    <row r="85" spans="1:56" x14ac:dyDescent="0.2">
      <c r="A85" s="317">
        <v>16</v>
      </c>
      <c r="B85" s="318" t="s">
        <v>354</v>
      </c>
      <c r="C85" s="318" t="s">
        <v>68</v>
      </c>
      <c r="D85" s="5">
        <v>30</v>
      </c>
      <c r="E85" s="5" t="s">
        <v>458</v>
      </c>
      <c r="F85" s="5" t="s">
        <v>458</v>
      </c>
      <c r="G85" s="5" t="s">
        <v>458</v>
      </c>
      <c r="H85" s="5" t="s">
        <v>458</v>
      </c>
      <c r="I85" s="5" t="s">
        <v>458</v>
      </c>
      <c r="J85" s="5" t="s">
        <v>458</v>
      </c>
      <c r="K85" s="5" t="s">
        <v>458</v>
      </c>
      <c r="L85" s="5" t="s">
        <v>458</v>
      </c>
      <c r="M85" s="5" t="s">
        <v>458</v>
      </c>
      <c r="N85" s="5" t="s">
        <v>458</v>
      </c>
      <c r="O85" s="5" t="s">
        <v>458</v>
      </c>
      <c r="P85" s="5" t="s">
        <v>458</v>
      </c>
      <c r="Q85" s="5" t="s">
        <v>458</v>
      </c>
      <c r="R85" s="5" t="s">
        <v>458</v>
      </c>
      <c r="S85" s="5" t="s">
        <v>458</v>
      </c>
      <c r="T85" s="5" t="s">
        <v>458</v>
      </c>
      <c r="U85" s="5" t="s">
        <v>458</v>
      </c>
      <c r="V85" s="5" t="s">
        <v>458</v>
      </c>
      <c r="W85" s="5" t="s">
        <v>458</v>
      </c>
      <c r="X85" s="5" t="s">
        <v>458</v>
      </c>
      <c r="Y85" s="5" t="s">
        <v>458</v>
      </c>
      <c r="Z85" s="5" t="s">
        <v>458</v>
      </c>
      <c r="AA85" s="5" t="s">
        <v>458</v>
      </c>
      <c r="AB85" s="5" t="s">
        <v>458</v>
      </c>
      <c r="AC85" s="5" t="s">
        <v>458</v>
      </c>
      <c r="AD85" s="5" t="s">
        <v>458</v>
      </c>
      <c r="AE85" s="5" t="s">
        <v>458</v>
      </c>
      <c r="AF85" s="5" t="s">
        <v>458</v>
      </c>
      <c r="AG85" s="5" t="s">
        <v>458</v>
      </c>
      <c r="AH85" s="5" t="s">
        <v>458</v>
      </c>
      <c r="AI85" s="5" t="s">
        <v>458</v>
      </c>
      <c r="AJ85" s="5" t="s">
        <v>458</v>
      </c>
      <c r="AK85" s="5" t="s">
        <v>458</v>
      </c>
      <c r="AL85" s="5" t="s">
        <v>458</v>
      </c>
      <c r="AM85" s="5" t="s">
        <v>458</v>
      </c>
      <c r="AN85" s="5" t="s">
        <v>458</v>
      </c>
      <c r="AO85" s="5" t="s">
        <v>458</v>
      </c>
      <c r="AP85" s="5" t="s">
        <v>458</v>
      </c>
      <c r="AQ85" s="5" t="s">
        <v>458</v>
      </c>
      <c r="AR85" s="5" t="s">
        <v>458</v>
      </c>
      <c r="AS85" s="5" t="s">
        <v>458</v>
      </c>
      <c r="AT85" s="5" t="s">
        <v>458</v>
      </c>
      <c r="AU85" s="5" t="s">
        <v>458</v>
      </c>
      <c r="AV85" s="5" t="s">
        <v>458</v>
      </c>
      <c r="AW85" s="5" t="s">
        <v>458</v>
      </c>
      <c r="AX85" s="5" t="s">
        <v>458</v>
      </c>
      <c r="AY85" s="5" t="s">
        <v>458</v>
      </c>
      <c r="AZ85" s="5" t="s">
        <v>458</v>
      </c>
      <c r="BA85" s="5" t="s">
        <v>458</v>
      </c>
      <c r="BB85" s="5" t="s">
        <v>458</v>
      </c>
      <c r="BC85" s="5" t="s">
        <v>458</v>
      </c>
      <c r="BD85" s="5" t="s">
        <v>458</v>
      </c>
    </row>
    <row r="86" spans="1:56" x14ac:dyDescent="0.2">
      <c r="A86" s="331">
        <v>16</v>
      </c>
      <c r="B86" s="331" t="s">
        <v>355</v>
      </c>
      <c r="C86" s="331" t="s">
        <v>69</v>
      </c>
      <c r="D86" s="5">
        <v>30</v>
      </c>
      <c r="E86" s="5" t="s">
        <v>458</v>
      </c>
      <c r="F86" s="5" t="s">
        <v>458</v>
      </c>
      <c r="G86" s="5" t="s">
        <v>458</v>
      </c>
      <c r="H86" s="5" t="s">
        <v>458</v>
      </c>
      <c r="I86" s="5" t="s">
        <v>458</v>
      </c>
      <c r="J86" s="5" t="s">
        <v>458</v>
      </c>
      <c r="K86" s="5" t="s">
        <v>458</v>
      </c>
      <c r="L86" s="5" t="s">
        <v>458</v>
      </c>
      <c r="M86" s="5" t="s">
        <v>458</v>
      </c>
      <c r="N86" s="5" t="s">
        <v>458</v>
      </c>
      <c r="O86" s="5" t="s">
        <v>458</v>
      </c>
      <c r="P86" s="5" t="s">
        <v>458</v>
      </c>
      <c r="Q86" s="5" t="s">
        <v>458</v>
      </c>
      <c r="R86" s="5" t="s">
        <v>458</v>
      </c>
      <c r="S86" s="5" t="s">
        <v>458</v>
      </c>
      <c r="T86" s="5" t="s">
        <v>458</v>
      </c>
      <c r="U86" s="5" t="s">
        <v>458</v>
      </c>
      <c r="V86" s="5" t="s">
        <v>458</v>
      </c>
      <c r="W86" s="5" t="s">
        <v>458</v>
      </c>
      <c r="X86" s="5" t="s">
        <v>458</v>
      </c>
      <c r="Y86" s="5" t="s">
        <v>458</v>
      </c>
      <c r="Z86" s="5" t="s">
        <v>458</v>
      </c>
      <c r="AA86" s="5" t="s">
        <v>458</v>
      </c>
      <c r="AB86" s="5" t="s">
        <v>458</v>
      </c>
      <c r="AC86" s="5" t="s">
        <v>458</v>
      </c>
      <c r="AD86" s="5" t="s">
        <v>458</v>
      </c>
      <c r="AE86" s="5" t="s">
        <v>458</v>
      </c>
      <c r="AF86" s="5" t="s">
        <v>458</v>
      </c>
      <c r="AG86" s="5" t="s">
        <v>458</v>
      </c>
      <c r="AH86" s="5" t="s">
        <v>458</v>
      </c>
      <c r="AI86" s="5" t="s">
        <v>458</v>
      </c>
      <c r="AJ86" s="5" t="s">
        <v>458</v>
      </c>
      <c r="AK86" s="5" t="s">
        <v>458</v>
      </c>
      <c r="AL86" s="5" t="s">
        <v>458</v>
      </c>
      <c r="AM86" s="5" t="s">
        <v>458</v>
      </c>
      <c r="AN86" s="5" t="s">
        <v>458</v>
      </c>
      <c r="AO86" s="5" t="s">
        <v>458</v>
      </c>
      <c r="AP86" s="5" t="s">
        <v>458</v>
      </c>
      <c r="AQ86" s="5" t="s">
        <v>458</v>
      </c>
      <c r="AR86" s="5" t="s">
        <v>458</v>
      </c>
      <c r="AS86" s="5" t="s">
        <v>458</v>
      </c>
      <c r="AT86" s="5" t="s">
        <v>458</v>
      </c>
      <c r="AU86" s="5" t="s">
        <v>458</v>
      </c>
      <c r="AV86" s="5" t="s">
        <v>458</v>
      </c>
      <c r="AW86" s="5" t="s">
        <v>458</v>
      </c>
      <c r="AX86" s="5" t="s">
        <v>458</v>
      </c>
      <c r="AY86" s="5" t="s">
        <v>458</v>
      </c>
      <c r="AZ86" s="5" t="s">
        <v>458</v>
      </c>
      <c r="BA86" s="5" t="s">
        <v>458</v>
      </c>
      <c r="BB86" s="5" t="s">
        <v>458</v>
      </c>
      <c r="BC86" s="5" t="s">
        <v>458</v>
      </c>
      <c r="BD86" s="5" t="s">
        <v>458</v>
      </c>
    </row>
    <row r="87" spans="1:56" x14ac:dyDescent="0.2">
      <c r="A87" s="317">
        <v>16</v>
      </c>
      <c r="B87" s="318" t="s">
        <v>356</v>
      </c>
      <c r="C87" s="318" t="s">
        <v>69</v>
      </c>
      <c r="D87" s="5">
        <v>30</v>
      </c>
      <c r="E87" s="5" t="s">
        <v>458</v>
      </c>
      <c r="F87" s="5" t="s">
        <v>458</v>
      </c>
      <c r="G87" s="5" t="s">
        <v>458</v>
      </c>
      <c r="H87" s="5" t="s">
        <v>458</v>
      </c>
      <c r="I87" s="5" t="s">
        <v>458</v>
      </c>
      <c r="J87" s="5" t="s">
        <v>458</v>
      </c>
      <c r="K87" s="5" t="s">
        <v>458</v>
      </c>
      <c r="L87" s="5" t="s">
        <v>458</v>
      </c>
      <c r="M87" s="5" t="s">
        <v>458</v>
      </c>
      <c r="N87" s="5" t="s">
        <v>458</v>
      </c>
      <c r="O87" s="5" t="s">
        <v>458</v>
      </c>
      <c r="P87" s="5" t="s">
        <v>458</v>
      </c>
      <c r="Q87" s="5" t="s">
        <v>458</v>
      </c>
      <c r="R87" s="5" t="s">
        <v>458</v>
      </c>
      <c r="S87" s="5" t="s">
        <v>458</v>
      </c>
      <c r="T87" s="5" t="s">
        <v>458</v>
      </c>
      <c r="U87" s="5" t="s">
        <v>458</v>
      </c>
      <c r="V87" s="5" t="s">
        <v>458</v>
      </c>
      <c r="W87" s="5" t="s">
        <v>458</v>
      </c>
      <c r="X87" s="5" t="s">
        <v>458</v>
      </c>
      <c r="Y87" s="5" t="s">
        <v>458</v>
      </c>
      <c r="Z87" s="5" t="s">
        <v>458</v>
      </c>
      <c r="AA87" s="5" t="s">
        <v>458</v>
      </c>
      <c r="AB87" s="5" t="s">
        <v>458</v>
      </c>
      <c r="AC87" s="5" t="s">
        <v>458</v>
      </c>
      <c r="AD87" s="5" t="s">
        <v>458</v>
      </c>
      <c r="AE87" s="5" t="s">
        <v>458</v>
      </c>
      <c r="AF87" s="5" t="s">
        <v>458</v>
      </c>
      <c r="AG87" s="5" t="s">
        <v>458</v>
      </c>
      <c r="AH87" s="5" t="s">
        <v>458</v>
      </c>
      <c r="AI87" s="5" t="s">
        <v>458</v>
      </c>
      <c r="AJ87" s="5" t="s">
        <v>458</v>
      </c>
      <c r="AK87" s="5" t="s">
        <v>458</v>
      </c>
      <c r="AL87" s="5" t="s">
        <v>458</v>
      </c>
      <c r="AM87" s="5" t="s">
        <v>458</v>
      </c>
      <c r="AN87" s="5" t="s">
        <v>458</v>
      </c>
      <c r="AO87" s="5" t="s">
        <v>458</v>
      </c>
      <c r="AP87" s="5" t="s">
        <v>458</v>
      </c>
      <c r="AQ87" s="5" t="s">
        <v>458</v>
      </c>
      <c r="AR87" s="5" t="s">
        <v>458</v>
      </c>
      <c r="AS87" s="5" t="s">
        <v>458</v>
      </c>
      <c r="AT87" s="5" t="s">
        <v>458</v>
      </c>
      <c r="AU87" s="5" t="s">
        <v>458</v>
      </c>
      <c r="AV87" s="5" t="s">
        <v>458</v>
      </c>
      <c r="AW87" s="5" t="s">
        <v>458</v>
      </c>
      <c r="AX87" s="5" t="s">
        <v>458</v>
      </c>
      <c r="AY87" s="5" t="s">
        <v>458</v>
      </c>
      <c r="AZ87" s="5" t="s">
        <v>458</v>
      </c>
      <c r="BA87" s="5" t="s">
        <v>458</v>
      </c>
      <c r="BB87" s="5" t="s">
        <v>458</v>
      </c>
      <c r="BC87" s="5" t="s">
        <v>458</v>
      </c>
      <c r="BD87" s="5" t="s">
        <v>458</v>
      </c>
    </row>
    <row r="88" spans="1:56" x14ac:dyDescent="0.2">
      <c r="A88" s="317">
        <v>16</v>
      </c>
      <c r="B88" s="318" t="s">
        <v>357</v>
      </c>
      <c r="C88" s="318" t="s">
        <v>69</v>
      </c>
      <c r="D88" s="5">
        <v>30</v>
      </c>
      <c r="E88" s="5" t="s">
        <v>458</v>
      </c>
      <c r="F88" s="5" t="s">
        <v>458</v>
      </c>
      <c r="G88" s="5" t="s">
        <v>458</v>
      </c>
      <c r="H88" s="5" t="s">
        <v>458</v>
      </c>
      <c r="I88" s="5" t="s">
        <v>458</v>
      </c>
      <c r="J88" s="5" t="s">
        <v>458</v>
      </c>
      <c r="K88" s="5" t="s">
        <v>458</v>
      </c>
      <c r="L88" s="5" t="s">
        <v>458</v>
      </c>
      <c r="M88" s="5" t="s">
        <v>458</v>
      </c>
      <c r="N88" s="5" t="s">
        <v>458</v>
      </c>
      <c r="O88" s="5" t="s">
        <v>458</v>
      </c>
      <c r="P88" s="5" t="s">
        <v>458</v>
      </c>
      <c r="Q88" s="5" t="s">
        <v>458</v>
      </c>
      <c r="R88" s="5" t="s">
        <v>458</v>
      </c>
      <c r="S88" s="5" t="s">
        <v>458</v>
      </c>
      <c r="T88" s="5" t="s">
        <v>458</v>
      </c>
      <c r="U88" s="5" t="s">
        <v>458</v>
      </c>
      <c r="V88" s="5" t="s">
        <v>458</v>
      </c>
      <c r="W88" s="5" t="s">
        <v>458</v>
      </c>
      <c r="X88" s="5" t="s">
        <v>458</v>
      </c>
      <c r="Y88" s="5" t="s">
        <v>458</v>
      </c>
      <c r="Z88" s="5" t="s">
        <v>458</v>
      </c>
      <c r="AA88" s="5" t="s">
        <v>458</v>
      </c>
      <c r="AB88" s="5" t="s">
        <v>458</v>
      </c>
      <c r="AC88" s="5" t="s">
        <v>458</v>
      </c>
      <c r="AD88" s="5" t="s">
        <v>458</v>
      </c>
      <c r="AE88" s="5" t="s">
        <v>458</v>
      </c>
      <c r="AF88" s="5" t="s">
        <v>458</v>
      </c>
      <c r="AG88" s="5" t="s">
        <v>458</v>
      </c>
      <c r="AH88" s="5" t="s">
        <v>458</v>
      </c>
      <c r="AI88" s="5" t="s">
        <v>458</v>
      </c>
      <c r="AJ88" s="5" t="s">
        <v>458</v>
      </c>
      <c r="AK88" s="5" t="s">
        <v>458</v>
      </c>
      <c r="AL88" s="5" t="s">
        <v>458</v>
      </c>
      <c r="AM88" s="5" t="s">
        <v>458</v>
      </c>
      <c r="AN88" s="5" t="s">
        <v>458</v>
      </c>
      <c r="AO88" s="5" t="s">
        <v>458</v>
      </c>
      <c r="AP88" s="5" t="s">
        <v>458</v>
      </c>
      <c r="AQ88" s="5" t="s">
        <v>458</v>
      </c>
      <c r="AR88" s="5" t="s">
        <v>458</v>
      </c>
      <c r="AS88" s="5" t="s">
        <v>458</v>
      </c>
      <c r="AT88" s="5" t="s">
        <v>458</v>
      </c>
      <c r="AU88" s="5" t="s">
        <v>458</v>
      </c>
      <c r="AV88" s="5" t="s">
        <v>458</v>
      </c>
      <c r="AW88" s="5" t="s">
        <v>458</v>
      </c>
      <c r="AX88" s="5" t="s">
        <v>458</v>
      </c>
      <c r="AY88" s="5" t="s">
        <v>458</v>
      </c>
      <c r="AZ88" s="5" t="s">
        <v>458</v>
      </c>
      <c r="BA88" s="5" t="s">
        <v>458</v>
      </c>
      <c r="BB88" s="5" t="s">
        <v>458</v>
      </c>
      <c r="BC88" s="5" t="s">
        <v>458</v>
      </c>
      <c r="BD88" s="5" t="s">
        <v>458</v>
      </c>
    </row>
    <row r="89" spans="1:56" x14ac:dyDescent="0.2">
      <c r="A89" s="317">
        <v>16</v>
      </c>
      <c r="B89" s="318" t="s">
        <v>358</v>
      </c>
      <c r="C89" s="318" t="s">
        <v>70</v>
      </c>
      <c r="D89" s="5">
        <v>30</v>
      </c>
      <c r="E89" s="5" t="s">
        <v>458</v>
      </c>
      <c r="F89" s="5" t="s">
        <v>458</v>
      </c>
      <c r="G89" s="5" t="s">
        <v>458</v>
      </c>
      <c r="H89" s="5" t="s">
        <v>458</v>
      </c>
      <c r="I89" s="5" t="s">
        <v>458</v>
      </c>
      <c r="J89" s="5" t="s">
        <v>458</v>
      </c>
      <c r="K89" s="5" t="s">
        <v>458</v>
      </c>
      <c r="L89" s="5" t="s">
        <v>458</v>
      </c>
      <c r="M89" s="5" t="s">
        <v>458</v>
      </c>
      <c r="N89" s="5" t="s">
        <v>458</v>
      </c>
      <c r="O89" s="5" t="s">
        <v>458</v>
      </c>
      <c r="P89" s="5" t="s">
        <v>458</v>
      </c>
      <c r="Q89" s="5" t="s">
        <v>458</v>
      </c>
      <c r="R89" s="5" t="s">
        <v>458</v>
      </c>
      <c r="S89" s="5" t="s">
        <v>458</v>
      </c>
      <c r="T89" s="5" t="s">
        <v>458</v>
      </c>
      <c r="U89" s="5" t="s">
        <v>458</v>
      </c>
      <c r="V89" s="5" t="s">
        <v>458</v>
      </c>
      <c r="W89" s="5" t="s">
        <v>458</v>
      </c>
      <c r="X89" s="5" t="s">
        <v>458</v>
      </c>
      <c r="Y89" s="5" t="s">
        <v>458</v>
      </c>
      <c r="Z89" s="5" t="s">
        <v>458</v>
      </c>
      <c r="AA89" s="5" t="s">
        <v>458</v>
      </c>
      <c r="AB89" s="5" t="s">
        <v>458</v>
      </c>
      <c r="AC89" s="5" t="s">
        <v>458</v>
      </c>
      <c r="AD89" s="5" t="s">
        <v>458</v>
      </c>
      <c r="AE89" s="5" t="s">
        <v>458</v>
      </c>
      <c r="AF89" s="5" t="s">
        <v>458</v>
      </c>
      <c r="AG89" s="5" t="s">
        <v>458</v>
      </c>
      <c r="AH89" s="5" t="s">
        <v>458</v>
      </c>
      <c r="AI89" s="5" t="s">
        <v>458</v>
      </c>
      <c r="AJ89" s="5" t="s">
        <v>458</v>
      </c>
      <c r="AK89" s="5" t="s">
        <v>458</v>
      </c>
      <c r="AL89" s="5" t="s">
        <v>458</v>
      </c>
      <c r="AM89" s="5" t="s">
        <v>458</v>
      </c>
      <c r="AN89" s="5" t="s">
        <v>458</v>
      </c>
      <c r="AO89" s="5" t="s">
        <v>458</v>
      </c>
      <c r="AP89" s="5" t="s">
        <v>458</v>
      </c>
      <c r="AQ89" s="5" t="s">
        <v>458</v>
      </c>
      <c r="AR89" s="5" t="s">
        <v>458</v>
      </c>
      <c r="AS89" s="5" t="s">
        <v>458</v>
      </c>
      <c r="AT89" s="5" t="s">
        <v>458</v>
      </c>
      <c r="AU89" s="5" t="s">
        <v>458</v>
      </c>
      <c r="AV89" s="5" t="s">
        <v>458</v>
      </c>
      <c r="AW89" s="5" t="s">
        <v>458</v>
      </c>
      <c r="AX89" s="5" t="s">
        <v>458</v>
      </c>
      <c r="AY89" s="5" t="s">
        <v>458</v>
      </c>
      <c r="AZ89" s="5" t="s">
        <v>458</v>
      </c>
      <c r="BA89" s="5" t="s">
        <v>458</v>
      </c>
      <c r="BB89" s="5" t="s">
        <v>458</v>
      </c>
      <c r="BC89" s="5" t="s">
        <v>458</v>
      </c>
      <c r="BD89" s="5" t="s">
        <v>458</v>
      </c>
    </row>
    <row r="90" spans="1:56" x14ac:dyDescent="0.2">
      <c r="A90" s="317">
        <v>16</v>
      </c>
      <c r="B90" s="318" t="s">
        <v>359</v>
      </c>
      <c r="C90" s="318" t="s">
        <v>70</v>
      </c>
      <c r="D90" s="5">
        <v>30</v>
      </c>
      <c r="E90" s="5" t="s">
        <v>458</v>
      </c>
      <c r="F90" s="5" t="s">
        <v>458</v>
      </c>
      <c r="G90" s="5" t="s">
        <v>458</v>
      </c>
      <c r="H90" s="5" t="s">
        <v>458</v>
      </c>
      <c r="I90" s="5" t="s">
        <v>458</v>
      </c>
      <c r="J90" s="5" t="s">
        <v>458</v>
      </c>
      <c r="K90" s="5" t="s">
        <v>458</v>
      </c>
      <c r="L90" s="5" t="s">
        <v>458</v>
      </c>
      <c r="M90" s="5" t="s">
        <v>458</v>
      </c>
      <c r="N90" s="5" t="s">
        <v>458</v>
      </c>
      <c r="O90" s="5" t="s">
        <v>458</v>
      </c>
      <c r="P90" s="5" t="s">
        <v>458</v>
      </c>
      <c r="Q90" s="5" t="s">
        <v>458</v>
      </c>
      <c r="R90" s="5" t="s">
        <v>458</v>
      </c>
      <c r="S90" s="5" t="s">
        <v>458</v>
      </c>
      <c r="T90" s="5" t="s">
        <v>458</v>
      </c>
      <c r="U90" s="5" t="s">
        <v>458</v>
      </c>
      <c r="V90" s="5" t="s">
        <v>458</v>
      </c>
      <c r="W90" s="5" t="s">
        <v>458</v>
      </c>
      <c r="X90" s="5" t="s">
        <v>458</v>
      </c>
      <c r="Y90" s="5" t="s">
        <v>458</v>
      </c>
      <c r="Z90" s="5" t="s">
        <v>458</v>
      </c>
      <c r="AA90" s="5" t="s">
        <v>458</v>
      </c>
      <c r="AB90" s="5" t="s">
        <v>458</v>
      </c>
      <c r="AC90" s="5" t="s">
        <v>458</v>
      </c>
      <c r="AD90" s="5" t="s">
        <v>458</v>
      </c>
      <c r="AE90" s="5" t="s">
        <v>458</v>
      </c>
      <c r="AF90" s="5" t="s">
        <v>458</v>
      </c>
      <c r="AG90" s="5" t="s">
        <v>458</v>
      </c>
      <c r="AH90" s="5" t="s">
        <v>458</v>
      </c>
      <c r="AI90" s="5" t="s">
        <v>458</v>
      </c>
      <c r="AJ90" s="5" t="s">
        <v>458</v>
      </c>
      <c r="AK90" s="5" t="s">
        <v>458</v>
      </c>
      <c r="AL90" s="5" t="s">
        <v>458</v>
      </c>
      <c r="AM90" s="5" t="s">
        <v>458</v>
      </c>
      <c r="AN90" s="5" t="s">
        <v>458</v>
      </c>
      <c r="AO90" s="5" t="s">
        <v>458</v>
      </c>
      <c r="AP90" s="5" t="s">
        <v>458</v>
      </c>
      <c r="AQ90" s="5" t="s">
        <v>458</v>
      </c>
      <c r="AR90" s="5" t="s">
        <v>458</v>
      </c>
      <c r="AS90" s="5" t="s">
        <v>458</v>
      </c>
      <c r="AT90" s="5" t="s">
        <v>458</v>
      </c>
      <c r="AU90" s="5" t="s">
        <v>458</v>
      </c>
      <c r="AV90" s="5" t="s">
        <v>458</v>
      </c>
      <c r="AW90" s="5" t="s">
        <v>458</v>
      </c>
      <c r="AX90" s="5" t="s">
        <v>458</v>
      </c>
      <c r="AY90" s="5" t="s">
        <v>458</v>
      </c>
      <c r="AZ90" s="5" t="s">
        <v>458</v>
      </c>
      <c r="BA90" s="5" t="s">
        <v>458</v>
      </c>
      <c r="BB90" s="5" t="s">
        <v>458</v>
      </c>
      <c r="BC90" s="5" t="s">
        <v>458</v>
      </c>
      <c r="BD90" s="5" t="s">
        <v>458</v>
      </c>
    </row>
    <row r="91" spans="1:56" s="19" customFormat="1" x14ac:dyDescent="0.2">
      <c r="A91" s="319">
        <v>16</v>
      </c>
      <c r="B91" s="320" t="s">
        <v>360</v>
      </c>
      <c r="C91" s="320" t="s">
        <v>70</v>
      </c>
      <c r="D91" s="19">
        <v>30</v>
      </c>
      <c r="E91" s="19" t="s">
        <v>458</v>
      </c>
      <c r="F91" s="19" t="s">
        <v>458</v>
      </c>
      <c r="G91" s="19" t="s">
        <v>458</v>
      </c>
      <c r="H91" s="19" t="s">
        <v>458</v>
      </c>
      <c r="I91" s="19" t="s">
        <v>458</v>
      </c>
      <c r="J91" s="19" t="s">
        <v>458</v>
      </c>
      <c r="K91" s="19" t="s">
        <v>458</v>
      </c>
      <c r="L91" s="19" t="s">
        <v>458</v>
      </c>
      <c r="M91" s="19" t="s">
        <v>458</v>
      </c>
      <c r="N91" s="19" t="s">
        <v>458</v>
      </c>
      <c r="O91" s="19" t="s">
        <v>458</v>
      </c>
      <c r="P91" s="19" t="s">
        <v>458</v>
      </c>
      <c r="Q91" s="19" t="s">
        <v>458</v>
      </c>
      <c r="R91" s="19" t="s">
        <v>458</v>
      </c>
      <c r="S91" s="19" t="s">
        <v>458</v>
      </c>
      <c r="T91" s="19" t="s">
        <v>458</v>
      </c>
      <c r="U91" s="19" t="s">
        <v>458</v>
      </c>
      <c r="V91" s="19" t="s">
        <v>458</v>
      </c>
      <c r="W91" s="19" t="s">
        <v>458</v>
      </c>
      <c r="X91" s="19" t="s">
        <v>458</v>
      </c>
      <c r="Y91" s="19" t="s">
        <v>458</v>
      </c>
      <c r="Z91" s="19" t="s">
        <v>458</v>
      </c>
      <c r="AA91" s="19" t="s">
        <v>458</v>
      </c>
      <c r="AB91" s="19" t="s">
        <v>458</v>
      </c>
      <c r="AC91" s="19" t="s">
        <v>458</v>
      </c>
      <c r="AD91" s="19" t="s">
        <v>458</v>
      </c>
      <c r="AE91" s="19" t="s">
        <v>458</v>
      </c>
      <c r="AF91" s="19" t="s">
        <v>458</v>
      </c>
      <c r="AG91" s="19" t="s">
        <v>458</v>
      </c>
      <c r="AH91" s="19" t="s">
        <v>458</v>
      </c>
      <c r="AI91" s="19" t="s">
        <v>458</v>
      </c>
      <c r="AJ91" s="19" t="s">
        <v>458</v>
      </c>
      <c r="AK91" s="19" t="s">
        <v>458</v>
      </c>
      <c r="AL91" s="19" t="s">
        <v>458</v>
      </c>
      <c r="AM91" s="19" t="s">
        <v>458</v>
      </c>
      <c r="AN91" s="19" t="s">
        <v>458</v>
      </c>
      <c r="AO91" s="19" t="s">
        <v>458</v>
      </c>
      <c r="AP91" s="19" t="s">
        <v>458</v>
      </c>
      <c r="AQ91" s="19" t="s">
        <v>458</v>
      </c>
      <c r="AR91" s="19" t="s">
        <v>458</v>
      </c>
      <c r="AS91" s="19" t="s">
        <v>458</v>
      </c>
      <c r="AT91" s="19" t="s">
        <v>458</v>
      </c>
      <c r="AU91" s="19" t="s">
        <v>458</v>
      </c>
      <c r="AV91" s="19" t="s">
        <v>458</v>
      </c>
      <c r="AW91" s="19" t="s">
        <v>458</v>
      </c>
      <c r="AX91" s="19" t="s">
        <v>458</v>
      </c>
      <c r="AY91" s="19" t="s">
        <v>458</v>
      </c>
      <c r="AZ91" s="19" t="s">
        <v>458</v>
      </c>
      <c r="BA91" s="19" t="s">
        <v>458</v>
      </c>
      <c r="BB91" s="19" t="s">
        <v>458</v>
      </c>
      <c r="BC91" s="19" t="s">
        <v>458</v>
      </c>
      <c r="BD91" s="19" t="s">
        <v>458</v>
      </c>
    </row>
    <row r="92" spans="1:56" x14ac:dyDescent="0.2">
      <c r="A92" s="317">
        <v>18</v>
      </c>
      <c r="B92" s="318" t="s">
        <v>361</v>
      </c>
      <c r="C92" s="318" t="s">
        <v>50</v>
      </c>
      <c r="D92" s="5">
        <v>23.693390000000001</v>
      </c>
      <c r="E92" s="5">
        <v>48.78049</v>
      </c>
      <c r="F92" s="5">
        <v>72.473849999999999</v>
      </c>
      <c r="G92" s="5">
        <v>99.419269999999997</v>
      </c>
      <c r="H92" s="5">
        <v>149.59348</v>
      </c>
      <c r="I92" s="5">
        <v>181.64923999999999</v>
      </c>
      <c r="J92" s="5">
        <v>216.02784</v>
      </c>
      <c r="K92" s="5">
        <v>251.33562000000001</v>
      </c>
      <c r="L92" s="5">
        <v>272.24155000000002</v>
      </c>
      <c r="M92" s="5">
        <v>296.86408999999998</v>
      </c>
      <c r="N92" s="5">
        <v>310.33681999999999</v>
      </c>
      <c r="O92" s="5">
        <v>329.84899999999999</v>
      </c>
      <c r="P92" s="5">
        <v>349.36117000000002</v>
      </c>
      <c r="Q92" s="5" t="s">
        <v>458</v>
      </c>
      <c r="R92" s="5" t="s">
        <v>458</v>
      </c>
      <c r="S92" s="5" t="s">
        <v>458</v>
      </c>
      <c r="T92" s="5" t="s">
        <v>458</v>
      </c>
      <c r="U92" s="5" t="s">
        <v>458</v>
      </c>
      <c r="V92" s="5" t="s">
        <v>458</v>
      </c>
      <c r="W92" s="5" t="s">
        <v>458</v>
      </c>
      <c r="X92" s="5" t="s">
        <v>458</v>
      </c>
      <c r="Y92" s="5" t="s">
        <v>458</v>
      </c>
      <c r="Z92" s="5" t="s">
        <v>458</v>
      </c>
      <c r="AA92" s="5" t="s">
        <v>458</v>
      </c>
      <c r="AB92" s="5" t="s">
        <v>458</v>
      </c>
      <c r="AC92" s="5" t="s">
        <v>458</v>
      </c>
      <c r="AD92" s="5" t="s">
        <v>458</v>
      </c>
      <c r="AE92" s="5" t="s">
        <v>458</v>
      </c>
      <c r="AF92" s="5" t="s">
        <v>458</v>
      </c>
      <c r="AG92" s="5" t="s">
        <v>458</v>
      </c>
      <c r="AH92" s="5" t="s">
        <v>458</v>
      </c>
      <c r="AI92" s="5" t="s">
        <v>458</v>
      </c>
      <c r="AJ92" s="5" t="s">
        <v>458</v>
      </c>
      <c r="AK92" s="5" t="s">
        <v>458</v>
      </c>
      <c r="AL92" s="5" t="s">
        <v>458</v>
      </c>
      <c r="AM92" s="5" t="s">
        <v>458</v>
      </c>
      <c r="AN92" s="5" t="s">
        <v>458</v>
      </c>
      <c r="AO92" s="5" t="s">
        <v>458</v>
      </c>
      <c r="AP92" s="5" t="s">
        <v>458</v>
      </c>
      <c r="AQ92" s="5" t="s">
        <v>458</v>
      </c>
      <c r="AR92" s="5" t="s">
        <v>458</v>
      </c>
      <c r="AS92" s="5" t="s">
        <v>458</v>
      </c>
      <c r="AT92" s="5" t="s">
        <v>458</v>
      </c>
      <c r="AU92" s="5" t="s">
        <v>458</v>
      </c>
      <c r="AV92" s="5" t="s">
        <v>458</v>
      </c>
      <c r="AW92" s="5" t="s">
        <v>458</v>
      </c>
      <c r="AX92" s="5" t="s">
        <v>458</v>
      </c>
      <c r="AY92" s="5" t="s">
        <v>458</v>
      </c>
      <c r="AZ92" s="5" t="s">
        <v>458</v>
      </c>
      <c r="BA92" s="5" t="s">
        <v>458</v>
      </c>
      <c r="BB92" s="5" t="s">
        <v>458</v>
      </c>
      <c r="BC92" s="5" t="s">
        <v>458</v>
      </c>
      <c r="BD92" s="5" t="s">
        <v>458</v>
      </c>
    </row>
    <row r="93" spans="1:56" x14ac:dyDescent="0.2">
      <c r="A93" s="317">
        <v>18</v>
      </c>
      <c r="B93" s="318" t="s">
        <v>362</v>
      </c>
      <c r="C93" s="318" t="s">
        <v>71</v>
      </c>
      <c r="D93" s="5">
        <v>28.33914</v>
      </c>
      <c r="E93" s="5">
        <v>33.449469999999998</v>
      </c>
      <c r="F93" s="5">
        <v>37.630659999999999</v>
      </c>
      <c r="G93" s="5">
        <v>42.741</v>
      </c>
      <c r="H93" s="5">
        <v>46.457590000000003</v>
      </c>
      <c r="I93" s="5">
        <v>50.638779999999997</v>
      </c>
      <c r="J93" s="5">
        <v>54.355400000000003</v>
      </c>
      <c r="K93" s="5">
        <v>59.930300000000003</v>
      </c>
      <c r="L93" s="5">
        <v>66.898949999999999</v>
      </c>
      <c r="M93" s="5">
        <v>74.332160000000002</v>
      </c>
      <c r="N93" s="5">
        <v>82.229969999999994</v>
      </c>
      <c r="O93" s="5">
        <v>89.663179999999997</v>
      </c>
      <c r="P93" s="5">
        <v>99.883859999999999</v>
      </c>
      <c r="Q93" s="5">
        <v>119.39604</v>
      </c>
      <c r="R93" s="5">
        <v>132.40418</v>
      </c>
      <c r="S93" s="5">
        <v>149.59348</v>
      </c>
      <c r="T93" s="5">
        <v>175.60973999999999</v>
      </c>
      <c r="U93" s="5">
        <v>191.86991</v>
      </c>
      <c r="V93" s="5">
        <v>214.63415000000001</v>
      </c>
      <c r="W93" s="5">
        <v>238.79207</v>
      </c>
      <c r="X93" s="5">
        <v>274.09985</v>
      </c>
      <c r="Y93" s="5">
        <v>302.90357999999998</v>
      </c>
      <c r="Z93" s="5">
        <v>328.91987</v>
      </c>
      <c r="AA93" s="5">
        <v>347.96748000000002</v>
      </c>
      <c r="AB93" s="5" t="s">
        <v>458</v>
      </c>
      <c r="AC93" s="5" t="s">
        <v>458</v>
      </c>
      <c r="AD93" s="5" t="s">
        <v>458</v>
      </c>
      <c r="AE93" s="5" t="s">
        <v>458</v>
      </c>
      <c r="AF93" s="5" t="s">
        <v>458</v>
      </c>
      <c r="AG93" s="5" t="s">
        <v>458</v>
      </c>
      <c r="AH93" s="5" t="s">
        <v>458</v>
      </c>
      <c r="AI93" s="5" t="s">
        <v>458</v>
      </c>
      <c r="AJ93" s="5" t="s">
        <v>458</v>
      </c>
      <c r="AK93" s="5" t="s">
        <v>458</v>
      </c>
      <c r="AL93" s="5" t="s">
        <v>458</v>
      </c>
      <c r="AM93" s="5" t="s">
        <v>458</v>
      </c>
      <c r="AN93" s="5" t="s">
        <v>458</v>
      </c>
      <c r="AO93" s="5" t="s">
        <v>458</v>
      </c>
      <c r="AP93" s="5" t="s">
        <v>458</v>
      </c>
      <c r="AQ93" s="5" t="s">
        <v>458</v>
      </c>
      <c r="AR93" s="5" t="s">
        <v>458</v>
      </c>
      <c r="AS93" s="5" t="s">
        <v>458</v>
      </c>
      <c r="AT93" s="5" t="s">
        <v>458</v>
      </c>
      <c r="AU93" s="5" t="s">
        <v>458</v>
      </c>
      <c r="AV93" s="5" t="s">
        <v>458</v>
      </c>
      <c r="AW93" s="5" t="s">
        <v>458</v>
      </c>
      <c r="AX93" s="5" t="s">
        <v>458</v>
      </c>
      <c r="AY93" s="5" t="s">
        <v>458</v>
      </c>
      <c r="AZ93" s="5" t="s">
        <v>458</v>
      </c>
      <c r="BA93" s="5" t="s">
        <v>458</v>
      </c>
      <c r="BB93" s="5" t="s">
        <v>458</v>
      </c>
      <c r="BC93" s="5" t="s">
        <v>458</v>
      </c>
      <c r="BD93" s="5" t="s">
        <v>458</v>
      </c>
    </row>
    <row r="94" spans="1:56" x14ac:dyDescent="0.2">
      <c r="A94" s="317">
        <v>18</v>
      </c>
      <c r="B94" s="318" t="s">
        <v>363</v>
      </c>
      <c r="C94" s="318" t="s">
        <v>72</v>
      </c>
      <c r="D94" s="5">
        <v>28.33914</v>
      </c>
      <c r="E94" s="5">
        <v>31.591159999999999</v>
      </c>
      <c r="F94" s="5">
        <v>34.84319</v>
      </c>
      <c r="G94" s="5">
        <v>38.559809999999999</v>
      </c>
      <c r="H94" s="5">
        <v>43.205559999999998</v>
      </c>
      <c r="I94" s="5">
        <v>48.315899999999999</v>
      </c>
      <c r="J94" s="5">
        <v>59.001150000000003</v>
      </c>
      <c r="K94" s="5">
        <v>64.576070000000001</v>
      </c>
      <c r="L94" s="5">
        <v>73.403009999999995</v>
      </c>
      <c r="M94" s="5">
        <v>84.552840000000003</v>
      </c>
      <c r="N94" s="5">
        <v>98.954700000000003</v>
      </c>
      <c r="O94" s="5">
        <v>112.42740999999999</v>
      </c>
      <c r="P94" s="5">
        <v>126.82925</v>
      </c>
      <c r="Q94" s="5">
        <v>134.72704999999999</v>
      </c>
      <c r="R94" s="5">
        <v>146.80604</v>
      </c>
      <c r="S94" s="5">
        <v>177.93261999999999</v>
      </c>
      <c r="T94" s="5">
        <v>191.86991</v>
      </c>
      <c r="U94" s="5">
        <v>206.73634000000001</v>
      </c>
      <c r="V94" s="5">
        <v>227.17769999999999</v>
      </c>
      <c r="W94" s="5">
        <v>244.83156</v>
      </c>
      <c r="X94" s="5">
        <v>268.52498000000003</v>
      </c>
      <c r="Y94" s="5">
        <v>291.75376999999997</v>
      </c>
      <c r="Z94" s="5">
        <v>299.65158000000002</v>
      </c>
      <c r="AA94" s="5">
        <v>330.31356</v>
      </c>
      <c r="AB94" s="5">
        <v>317.77001000000001</v>
      </c>
      <c r="AC94" s="5">
        <v>342.39255000000003</v>
      </c>
      <c r="AD94" s="5" t="s">
        <v>458</v>
      </c>
      <c r="AE94" s="5" t="s">
        <v>458</v>
      </c>
      <c r="AF94" s="5" t="s">
        <v>458</v>
      </c>
      <c r="AG94" s="5" t="s">
        <v>458</v>
      </c>
      <c r="AH94" s="5" t="s">
        <v>458</v>
      </c>
      <c r="AI94" s="5" t="s">
        <v>458</v>
      </c>
      <c r="AJ94" s="5" t="s">
        <v>458</v>
      </c>
      <c r="AK94" s="5" t="s">
        <v>458</v>
      </c>
      <c r="AL94" s="5" t="s">
        <v>458</v>
      </c>
      <c r="AM94" s="5" t="s">
        <v>458</v>
      </c>
      <c r="AN94" s="5" t="s">
        <v>458</v>
      </c>
      <c r="AO94" s="5" t="s">
        <v>458</v>
      </c>
      <c r="AP94" s="5" t="s">
        <v>458</v>
      </c>
      <c r="AQ94" s="5" t="s">
        <v>458</v>
      </c>
      <c r="AR94" s="5" t="s">
        <v>458</v>
      </c>
      <c r="AS94" s="5" t="s">
        <v>458</v>
      </c>
      <c r="AT94" s="5" t="s">
        <v>458</v>
      </c>
      <c r="AU94" s="5" t="s">
        <v>458</v>
      </c>
      <c r="AV94" s="5" t="s">
        <v>458</v>
      </c>
      <c r="AW94" s="5" t="s">
        <v>458</v>
      </c>
      <c r="AX94" s="5" t="s">
        <v>458</v>
      </c>
      <c r="AY94" s="5" t="s">
        <v>458</v>
      </c>
      <c r="AZ94" s="5" t="s">
        <v>458</v>
      </c>
      <c r="BA94" s="5" t="s">
        <v>458</v>
      </c>
      <c r="BB94" s="5" t="s">
        <v>458</v>
      </c>
      <c r="BC94" s="5" t="s">
        <v>458</v>
      </c>
      <c r="BD94" s="5" t="s">
        <v>458</v>
      </c>
    </row>
    <row r="95" spans="1:56" x14ac:dyDescent="0.2">
      <c r="A95" s="317">
        <v>18</v>
      </c>
      <c r="B95" s="318" t="s">
        <v>364</v>
      </c>
      <c r="C95" s="318" t="s">
        <v>73</v>
      </c>
      <c r="D95" s="5">
        <v>48.78049</v>
      </c>
      <c r="E95" s="5">
        <v>61.788609999999998</v>
      </c>
      <c r="F95" s="5">
        <v>75.261319999999998</v>
      </c>
      <c r="G95" s="5">
        <v>98.954700000000003</v>
      </c>
      <c r="H95" s="5">
        <v>117.53773</v>
      </c>
      <c r="I95" s="5">
        <v>129.15215000000001</v>
      </c>
      <c r="J95" s="5">
        <v>137.97908000000001</v>
      </c>
      <c r="K95" s="5">
        <v>151.91634999999999</v>
      </c>
      <c r="L95" s="5">
        <v>163.99537000000001</v>
      </c>
      <c r="M95" s="5">
        <v>184.43666999999999</v>
      </c>
      <c r="N95" s="5">
        <v>199.3031</v>
      </c>
      <c r="O95" s="5">
        <v>210.91753</v>
      </c>
      <c r="P95" s="5">
        <v>224.39021</v>
      </c>
      <c r="Q95" s="5">
        <v>235.54006999999999</v>
      </c>
      <c r="R95" s="5">
        <v>249.94193000000001</v>
      </c>
      <c r="S95" s="5">
        <v>262.02087</v>
      </c>
      <c r="T95" s="5">
        <v>270.38328999999999</v>
      </c>
      <c r="U95" s="5">
        <v>283.85597000000001</v>
      </c>
      <c r="V95" s="5">
        <v>298.25783000000001</v>
      </c>
      <c r="W95" s="5">
        <v>310.33681999999999</v>
      </c>
      <c r="X95" s="5">
        <v>324.73867999999999</v>
      </c>
      <c r="Y95" s="5">
        <v>335.88848999999999</v>
      </c>
      <c r="Z95" s="5">
        <v>352.61322999999999</v>
      </c>
      <c r="AA95" s="5" t="s">
        <v>458</v>
      </c>
      <c r="AB95" s="5" t="s">
        <v>458</v>
      </c>
      <c r="AC95" s="5" t="s">
        <v>458</v>
      </c>
      <c r="AD95" s="5" t="s">
        <v>458</v>
      </c>
      <c r="AE95" s="5" t="s">
        <v>458</v>
      </c>
      <c r="AF95" s="5" t="s">
        <v>458</v>
      </c>
      <c r="AG95" s="5" t="s">
        <v>458</v>
      </c>
      <c r="AH95" s="5" t="s">
        <v>458</v>
      </c>
      <c r="AI95" s="5" t="s">
        <v>458</v>
      </c>
      <c r="AJ95" s="5" t="s">
        <v>458</v>
      </c>
      <c r="AK95" s="5" t="s">
        <v>458</v>
      </c>
      <c r="AL95" s="5" t="s">
        <v>458</v>
      </c>
      <c r="AM95" s="5" t="s">
        <v>458</v>
      </c>
      <c r="AN95" s="5" t="s">
        <v>458</v>
      </c>
      <c r="AO95" s="5" t="s">
        <v>458</v>
      </c>
      <c r="AP95" s="5" t="s">
        <v>458</v>
      </c>
      <c r="AQ95" s="5" t="s">
        <v>458</v>
      </c>
      <c r="AR95" s="5" t="s">
        <v>458</v>
      </c>
      <c r="AS95" s="5" t="s">
        <v>458</v>
      </c>
      <c r="AT95" s="5" t="s">
        <v>458</v>
      </c>
      <c r="AU95" s="5" t="s">
        <v>458</v>
      </c>
      <c r="AV95" s="5" t="s">
        <v>458</v>
      </c>
      <c r="AW95" s="5" t="s">
        <v>458</v>
      </c>
      <c r="AX95" s="5" t="s">
        <v>458</v>
      </c>
      <c r="AY95" s="5" t="s">
        <v>458</v>
      </c>
      <c r="AZ95" s="5" t="s">
        <v>458</v>
      </c>
      <c r="BA95" s="5" t="s">
        <v>458</v>
      </c>
      <c r="BB95" s="5" t="s">
        <v>458</v>
      </c>
      <c r="BC95" s="5" t="s">
        <v>458</v>
      </c>
      <c r="BD95" s="5" t="s">
        <v>458</v>
      </c>
    </row>
    <row r="96" spans="1:56" x14ac:dyDescent="0.2">
      <c r="A96" s="317">
        <v>18</v>
      </c>
      <c r="B96" s="318" t="s">
        <v>349</v>
      </c>
      <c r="C96" s="318" t="s">
        <v>74</v>
      </c>
      <c r="D96" s="5">
        <v>33.91404</v>
      </c>
      <c r="E96" s="5">
        <v>38.559809999999999</v>
      </c>
      <c r="F96" s="5">
        <v>49.245060000000002</v>
      </c>
      <c r="G96" s="5">
        <v>61.788609999999998</v>
      </c>
      <c r="H96" s="5">
        <v>72.473849999999999</v>
      </c>
      <c r="I96" s="5">
        <v>83.623689999999996</v>
      </c>
      <c r="J96" s="5">
        <v>100.34842</v>
      </c>
      <c r="K96" s="5">
        <v>111.03367</v>
      </c>
      <c r="L96" s="5">
        <v>119.39604</v>
      </c>
      <c r="M96" s="5">
        <v>133.7979</v>
      </c>
      <c r="N96" s="5">
        <v>149.12891999999999</v>
      </c>
      <c r="O96" s="5">
        <v>176.07431</v>
      </c>
      <c r="P96" s="5">
        <v>194.19279</v>
      </c>
      <c r="Q96" s="5">
        <v>216.02784</v>
      </c>
      <c r="R96" s="5">
        <v>231.35888</v>
      </c>
      <c r="S96" s="5">
        <v>250.40648999999999</v>
      </c>
      <c r="T96" s="5">
        <v>268.06036</v>
      </c>
      <c r="U96" s="5">
        <v>287.10802000000001</v>
      </c>
      <c r="V96" s="5">
        <v>300.58071000000001</v>
      </c>
      <c r="W96" s="5">
        <v>319.62831999999997</v>
      </c>
      <c r="X96" s="5">
        <v>332.17187000000001</v>
      </c>
      <c r="Y96" s="5">
        <v>348.89661000000001</v>
      </c>
      <c r="Z96" s="5" t="s">
        <v>458</v>
      </c>
      <c r="AA96" s="5" t="s">
        <v>458</v>
      </c>
      <c r="AB96" s="5" t="s">
        <v>458</v>
      </c>
      <c r="AC96" s="5" t="s">
        <v>458</v>
      </c>
      <c r="AD96" s="5" t="s">
        <v>458</v>
      </c>
      <c r="AE96" s="5" t="s">
        <v>458</v>
      </c>
      <c r="AF96" s="5" t="s">
        <v>458</v>
      </c>
      <c r="AG96" s="5" t="s">
        <v>458</v>
      </c>
      <c r="AH96" s="5" t="s">
        <v>458</v>
      </c>
      <c r="AI96" s="5" t="s">
        <v>458</v>
      </c>
      <c r="AJ96" s="5" t="s">
        <v>458</v>
      </c>
      <c r="AK96" s="5" t="s">
        <v>458</v>
      </c>
      <c r="AL96" s="5" t="s">
        <v>458</v>
      </c>
      <c r="AM96" s="5" t="s">
        <v>458</v>
      </c>
      <c r="AN96" s="5" t="s">
        <v>458</v>
      </c>
      <c r="AO96" s="5" t="s">
        <v>458</v>
      </c>
      <c r="AP96" s="5" t="s">
        <v>458</v>
      </c>
      <c r="AQ96" s="5" t="s">
        <v>458</v>
      </c>
      <c r="AR96" s="5" t="s">
        <v>458</v>
      </c>
      <c r="AS96" s="5" t="s">
        <v>458</v>
      </c>
      <c r="AT96" s="5" t="s">
        <v>458</v>
      </c>
      <c r="AU96" s="5" t="s">
        <v>458</v>
      </c>
      <c r="AV96" s="5" t="s">
        <v>458</v>
      </c>
      <c r="AW96" s="5" t="s">
        <v>458</v>
      </c>
      <c r="AX96" s="5" t="s">
        <v>458</v>
      </c>
      <c r="AY96" s="5" t="s">
        <v>458</v>
      </c>
      <c r="AZ96" s="5" t="s">
        <v>458</v>
      </c>
      <c r="BA96" s="5" t="s">
        <v>458</v>
      </c>
      <c r="BB96" s="5" t="s">
        <v>458</v>
      </c>
      <c r="BC96" s="5" t="s">
        <v>458</v>
      </c>
      <c r="BD96" s="5" t="s">
        <v>458</v>
      </c>
    </row>
    <row r="97" spans="1:56" x14ac:dyDescent="0.2">
      <c r="A97" s="317">
        <v>18</v>
      </c>
      <c r="B97" s="318" t="s">
        <v>365</v>
      </c>
      <c r="C97" s="318" t="s">
        <v>50</v>
      </c>
      <c r="D97" s="5">
        <v>25.521470000000001</v>
      </c>
      <c r="E97" s="5">
        <v>49.570549999999997</v>
      </c>
      <c r="F97" s="5">
        <v>76.564400000000006</v>
      </c>
      <c r="G97" s="5">
        <v>103.06747</v>
      </c>
      <c r="H97" s="5">
        <v>131.53372999999999</v>
      </c>
      <c r="I97" s="5">
        <v>150.67484999999999</v>
      </c>
      <c r="J97" s="5">
        <v>170.79755</v>
      </c>
      <c r="K97" s="5">
        <v>190.92024000000001</v>
      </c>
      <c r="L97" s="5">
        <v>213.00613000000001</v>
      </c>
      <c r="M97" s="5">
        <v>230.18405000000001</v>
      </c>
      <c r="N97" s="5">
        <v>253.74234999999999</v>
      </c>
      <c r="O97" s="5">
        <v>271.90185000000002</v>
      </c>
      <c r="P97" s="5">
        <v>299.38648000000001</v>
      </c>
      <c r="Q97" s="5">
        <v>320.00002000000001</v>
      </c>
      <c r="R97" s="5">
        <v>347.48464999999999</v>
      </c>
      <c r="S97" s="5" t="s">
        <v>458</v>
      </c>
      <c r="T97" s="5" t="s">
        <v>458</v>
      </c>
      <c r="U97" s="5" t="s">
        <v>458</v>
      </c>
      <c r="V97" s="5" t="s">
        <v>458</v>
      </c>
      <c r="W97" s="5" t="s">
        <v>458</v>
      </c>
      <c r="X97" s="5" t="s">
        <v>458</v>
      </c>
      <c r="Y97" s="5" t="s">
        <v>458</v>
      </c>
      <c r="Z97" s="5" t="s">
        <v>458</v>
      </c>
      <c r="AA97" s="5" t="s">
        <v>458</v>
      </c>
      <c r="AB97" s="5" t="s">
        <v>458</v>
      </c>
      <c r="AC97" s="5" t="s">
        <v>458</v>
      </c>
      <c r="AD97" s="5" t="s">
        <v>458</v>
      </c>
      <c r="AE97" s="5" t="s">
        <v>458</v>
      </c>
      <c r="AF97" s="5" t="s">
        <v>458</v>
      </c>
      <c r="AG97" s="5" t="s">
        <v>458</v>
      </c>
      <c r="AH97" s="5" t="s">
        <v>458</v>
      </c>
      <c r="AI97" s="5" t="s">
        <v>458</v>
      </c>
      <c r="AJ97" s="5" t="s">
        <v>458</v>
      </c>
      <c r="AK97" s="5" t="s">
        <v>458</v>
      </c>
      <c r="AL97" s="5" t="s">
        <v>458</v>
      </c>
      <c r="AM97" s="5" t="s">
        <v>458</v>
      </c>
      <c r="AN97" s="5" t="s">
        <v>458</v>
      </c>
      <c r="AO97" s="5" t="s">
        <v>458</v>
      </c>
      <c r="AP97" s="5" t="s">
        <v>458</v>
      </c>
      <c r="AQ97" s="5" t="s">
        <v>458</v>
      </c>
      <c r="AR97" s="5" t="s">
        <v>458</v>
      </c>
      <c r="AS97" s="5" t="s">
        <v>458</v>
      </c>
      <c r="AT97" s="5" t="s">
        <v>458</v>
      </c>
      <c r="AU97" s="5" t="s">
        <v>458</v>
      </c>
      <c r="AV97" s="5" t="s">
        <v>458</v>
      </c>
      <c r="AW97" s="5" t="s">
        <v>458</v>
      </c>
      <c r="AX97" s="5" t="s">
        <v>458</v>
      </c>
      <c r="AY97" s="5" t="s">
        <v>458</v>
      </c>
      <c r="AZ97" s="5" t="s">
        <v>458</v>
      </c>
      <c r="BA97" s="5" t="s">
        <v>458</v>
      </c>
      <c r="BB97" s="5" t="s">
        <v>458</v>
      </c>
      <c r="BC97" s="5" t="s">
        <v>458</v>
      </c>
      <c r="BD97" s="5" t="s">
        <v>458</v>
      </c>
    </row>
    <row r="98" spans="1:56" x14ac:dyDescent="0.2">
      <c r="A98" s="317">
        <v>18</v>
      </c>
      <c r="B98" s="318" t="s">
        <v>366</v>
      </c>
      <c r="C98" s="318" t="s">
        <v>71</v>
      </c>
      <c r="D98" s="5">
        <v>7.85276</v>
      </c>
      <c r="E98" s="5">
        <v>13.742319999999999</v>
      </c>
      <c r="F98" s="5">
        <v>18.650310000000001</v>
      </c>
      <c r="G98" s="5">
        <v>23.067489999999999</v>
      </c>
      <c r="H98" s="5">
        <v>25.03068</v>
      </c>
      <c r="I98" s="5">
        <v>30.42943</v>
      </c>
      <c r="J98" s="5">
        <v>36.809809999999999</v>
      </c>
      <c r="K98" s="5">
        <v>38.282220000000002</v>
      </c>
      <c r="L98" s="5">
        <v>41.226979999999998</v>
      </c>
      <c r="M98" s="5">
        <v>44.171779999999998</v>
      </c>
      <c r="N98" s="5">
        <v>52.515349999999998</v>
      </c>
      <c r="O98" s="5">
        <v>55.95093</v>
      </c>
      <c r="P98" s="5">
        <v>59.386510000000001</v>
      </c>
      <c r="Q98" s="5">
        <v>65.76688</v>
      </c>
      <c r="R98" s="5">
        <v>70.674840000000003</v>
      </c>
      <c r="S98" s="5">
        <v>76.073620000000005</v>
      </c>
      <c r="T98" s="5">
        <v>86.871170000000006</v>
      </c>
      <c r="U98" s="5">
        <v>103.06747</v>
      </c>
      <c r="V98" s="5">
        <v>107.48465</v>
      </c>
      <c r="W98" s="5">
        <v>121.22699</v>
      </c>
      <c r="X98" s="5">
        <v>129.57053999999999</v>
      </c>
      <c r="Y98" s="5">
        <v>149.20244</v>
      </c>
      <c r="Z98" s="5">
        <v>162.94479000000001</v>
      </c>
      <c r="AA98" s="5">
        <v>176.68710999999999</v>
      </c>
      <c r="AB98" s="5">
        <v>188.95704000000001</v>
      </c>
      <c r="AC98" s="5">
        <v>210.55215000000001</v>
      </c>
      <c r="AD98" s="5">
        <v>236.07364000000001</v>
      </c>
      <c r="AE98" s="5">
        <v>249.81595999999999</v>
      </c>
      <c r="AF98" s="5">
        <v>263.06749000000002</v>
      </c>
      <c r="AG98" s="5">
        <v>282.20855999999998</v>
      </c>
      <c r="AH98" s="5">
        <v>301.84046999999998</v>
      </c>
      <c r="AI98" s="5">
        <v>320.98158999999998</v>
      </c>
      <c r="AJ98" s="5">
        <v>339.63191999999998</v>
      </c>
      <c r="AK98" s="5">
        <v>350.92025999999998</v>
      </c>
      <c r="AL98" s="5" t="s">
        <v>458</v>
      </c>
      <c r="AM98" s="5" t="s">
        <v>458</v>
      </c>
      <c r="AN98" s="5" t="s">
        <v>458</v>
      </c>
      <c r="AO98" s="5" t="s">
        <v>458</v>
      </c>
      <c r="AP98" s="5" t="s">
        <v>458</v>
      </c>
      <c r="AQ98" s="5" t="s">
        <v>458</v>
      </c>
      <c r="AR98" s="5" t="s">
        <v>458</v>
      </c>
      <c r="AS98" s="5" t="s">
        <v>458</v>
      </c>
      <c r="AT98" s="5" t="s">
        <v>458</v>
      </c>
      <c r="AU98" s="5" t="s">
        <v>458</v>
      </c>
      <c r="AV98" s="5" t="s">
        <v>458</v>
      </c>
      <c r="AW98" s="5" t="s">
        <v>458</v>
      </c>
      <c r="AX98" s="5" t="s">
        <v>458</v>
      </c>
      <c r="AY98" s="5" t="s">
        <v>458</v>
      </c>
      <c r="AZ98" s="5" t="s">
        <v>458</v>
      </c>
      <c r="BA98" s="5" t="s">
        <v>458</v>
      </c>
      <c r="BB98" s="5" t="s">
        <v>458</v>
      </c>
      <c r="BC98" s="5" t="s">
        <v>458</v>
      </c>
      <c r="BD98" s="5" t="s">
        <v>458</v>
      </c>
    </row>
    <row r="99" spans="1:56" x14ac:dyDescent="0.2">
      <c r="A99" s="317">
        <v>18</v>
      </c>
      <c r="B99" s="318" t="s">
        <v>367</v>
      </c>
      <c r="C99" s="318" t="s">
        <v>72</v>
      </c>
      <c r="D99" s="5">
        <v>26.993849999999998</v>
      </c>
      <c r="E99" s="5">
        <v>32.392629999999997</v>
      </c>
      <c r="F99" s="5">
        <v>37.300620000000002</v>
      </c>
      <c r="G99" s="5">
        <v>50.061340000000001</v>
      </c>
      <c r="H99" s="5">
        <v>43.680990000000001</v>
      </c>
      <c r="I99" s="5">
        <v>64.294470000000004</v>
      </c>
      <c r="J99" s="5">
        <v>75.582809999999995</v>
      </c>
      <c r="K99" s="5">
        <v>85.398759999999996</v>
      </c>
      <c r="L99" s="5">
        <v>101.59509</v>
      </c>
      <c r="M99" s="5">
        <v>114.35583</v>
      </c>
      <c r="N99" s="5">
        <v>128.58896999999999</v>
      </c>
      <c r="O99" s="5">
        <v>147.23925</v>
      </c>
      <c r="P99" s="5">
        <v>168.34356</v>
      </c>
      <c r="Q99" s="5">
        <v>205.64418000000001</v>
      </c>
      <c r="R99" s="5">
        <v>226.74844999999999</v>
      </c>
      <c r="S99" s="5">
        <v>264.04906</v>
      </c>
      <c r="T99" s="5">
        <v>291.04291000000001</v>
      </c>
      <c r="U99" s="5">
        <v>312.63801999999998</v>
      </c>
      <c r="V99" s="5">
        <v>330.79757000000001</v>
      </c>
      <c r="W99" s="5">
        <v>350.42941999999999</v>
      </c>
      <c r="X99" s="5" t="s">
        <v>458</v>
      </c>
      <c r="Y99" s="5" t="s">
        <v>458</v>
      </c>
      <c r="Z99" s="5" t="s">
        <v>458</v>
      </c>
      <c r="AA99" s="5" t="s">
        <v>458</v>
      </c>
      <c r="AB99" s="5" t="s">
        <v>458</v>
      </c>
      <c r="AC99" s="5" t="s">
        <v>458</v>
      </c>
      <c r="AD99" s="5" t="s">
        <v>458</v>
      </c>
      <c r="AE99" s="5" t="s">
        <v>458</v>
      </c>
      <c r="AF99" s="5" t="s">
        <v>458</v>
      </c>
      <c r="AG99" s="5" t="s">
        <v>458</v>
      </c>
      <c r="AH99" s="5" t="s">
        <v>458</v>
      </c>
      <c r="AI99" s="5" t="s">
        <v>458</v>
      </c>
      <c r="AJ99" s="5" t="s">
        <v>458</v>
      </c>
      <c r="AK99" s="5" t="s">
        <v>458</v>
      </c>
      <c r="AL99" s="5" t="s">
        <v>458</v>
      </c>
      <c r="AM99" s="5" t="s">
        <v>458</v>
      </c>
      <c r="AN99" s="5" t="s">
        <v>458</v>
      </c>
      <c r="AO99" s="5" t="s">
        <v>458</v>
      </c>
      <c r="AP99" s="5" t="s">
        <v>458</v>
      </c>
      <c r="AQ99" s="5" t="s">
        <v>458</v>
      </c>
      <c r="AR99" s="5" t="s">
        <v>458</v>
      </c>
      <c r="AS99" s="5" t="s">
        <v>458</v>
      </c>
      <c r="AT99" s="5" t="s">
        <v>458</v>
      </c>
      <c r="AU99" s="5" t="s">
        <v>458</v>
      </c>
      <c r="AV99" s="5" t="s">
        <v>458</v>
      </c>
      <c r="AW99" s="5" t="s">
        <v>458</v>
      </c>
      <c r="AX99" s="5" t="s">
        <v>458</v>
      </c>
      <c r="AY99" s="5" t="s">
        <v>458</v>
      </c>
      <c r="AZ99" s="5" t="s">
        <v>458</v>
      </c>
      <c r="BA99" s="5" t="s">
        <v>458</v>
      </c>
      <c r="BB99" s="5" t="s">
        <v>458</v>
      </c>
      <c r="BC99" s="5" t="s">
        <v>458</v>
      </c>
      <c r="BD99" s="5" t="s">
        <v>458</v>
      </c>
    </row>
    <row r="100" spans="1:56" x14ac:dyDescent="0.2">
      <c r="A100" s="317">
        <v>18</v>
      </c>
      <c r="B100" s="318" t="s">
        <v>368</v>
      </c>
      <c r="C100" s="318" t="s">
        <v>73</v>
      </c>
      <c r="D100" s="5">
        <v>49.079740000000001</v>
      </c>
      <c r="E100" s="5">
        <v>76.073620000000005</v>
      </c>
      <c r="F100" s="5">
        <v>102.0859</v>
      </c>
      <c r="G100" s="5">
        <v>115.82822</v>
      </c>
      <c r="H100" s="5">
        <v>129.07974999999999</v>
      </c>
      <c r="I100" s="5">
        <v>136.93251000000001</v>
      </c>
      <c r="J100" s="5">
        <v>150.67484999999999</v>
      </c>
      <c r="K100" s="5">
        <v>166.38037</v>
      </c>
      <c r="L100" s="5">
        <v>185.52145999999999</v>
      </c>
      <c r="M100" s="5">
        <v>214.47854000000001</v>
      </c>
      <c r="N100" s="5">
        <v>238.52762000000001</v>
      </c>
      <c r="O100" s="5">
        <v>257.66869000000003</v>
      </c>
      <c r="P100" s="5">
        <v>271.41106000000002</v>
      </c>
      <c r="Q100" s="5">
        <v>288.09814999999998</v>
      </c>
      <c r="R100" s="5">
        <v>307.73005000000001</v>
      </c>
      <c r="S100" s="5">
        <v>333.74232999999998</v>
      </c>
      <c r="T100" s="5">
        <v>348.46627999999998</v>
      </c>
      <c r="U100" s="5" t="s">
        <v>458</v>
      </c>
      <c r="V100" s="5" t="s">
        <v>458</v>
      </c>
      <c r="W100" s="5" t="s">
        <v>458</v>
      </c>
      <c r="X100" s="5" t="s">
        <v>458</v>
      </c>
      <c r="Y100" s="5" t="s">
        <v>458</v>
      </c>
      <c r="Z100" s="5" t="s">
        <v>458</v>
      </c>
      <c r="AA100" s="5" t="s">
        <v>458</v>
      </c>
      <c r="AB100" s="5" t="s">
        <v>458</v>
      </c>
      <c r="AC100" s="5" t="s">
        <v>458</v>
      </c>
      <c r="AD100" s="5" t="s">
        <v>458</v>
      </c>
      <c r="AE100" s="5" t="s">
        <v>458</v>
      </c>
      <c r="AF100" s="5" t="s">
        <v>458</v>
      </c>
      <c r="AG100" s="5" t="s">
        <v>458</v>
      </c>
      <c r="AH100" s="5" t="s">
        <v>458</v>
      </c>
      <c r="AI100" s="5" t="s">
        <v>458</v>
      </c>
      <c r="AJ100" s="5" t="s">
        <v>458</v>
      </c>
      <c r="AK100" s="5" t="s">
        <v>458</v>
      </c>
      <c r="AL100" s="5" t="s">
        <v>458</v>
      </c>
      <c r="AM100" s="5" t="s">
        <v>458</v>
      </c>
      <c r="AN100" s="5" t="s">
        <v>458</v>
      </c>
      <c r="AO100" s="5" t="s">
        <v>458</v>
      </c>
      <c r="AP100" s="5" t="s">
        <v>458</v>
      </c>
      <c r="AQ100" s="5" t="s">
        <v>458</v>
      </c>
      <c r="AR100" s="5" t="s">
        <v>458</v>
      </c>
      <c r="AS100" s="5" t="s">
        <v>458</v>
      </c>
      <c r="AT100" s="5" t="s">
        <v>458</v>
      </c>
      <c r="AU100" s="5" t="s">
        <v>458</v>
      </c>
      <c r="AV100" s="5" t="s">
        <v>458</v>
      </c>
      <c r="AW100" s="5" t="s">
        <v>458</v>
      </c>
      <c r="AX100" s="5" t="s">
        <v>458</v>
      </c>
      <c r="AY100" s="5" t="s">
        <v>458</v>
      </c>
      <c r="AZ100" s="5" t="s">
        <v>458</v>
      </c>
      <c r="BA100" s="5" t="s">
        <v>458</v>
      </c>
      <c r="BB100" s="5" t="s">
        <v>458</v>
      </c>
      <c r="BC100" s="5" t="s">
        <v>458</v>
      </c>
      <c r="BD100" s="5" t="s">
        <v>458</v>
      </c>
    </row>
    <row r="101" spans="1:56" x14ac:dyDescent="0.2">
      <c r="A101" s="317">
        <v>18</v>
      </c>
      <c r="B101" s="318" t="s">
        <v>350</v>
      </c>
      <c r="C101" s="318" t="s">
        <v>74</v>
      </c>
      <c r="D101" s="5">
        <v>59.386510000000001</v>
      </c>
      <c r="E101" s="5">
        <v>84.417159999999996</v>
      </c>
      <c r="F101" s="5">
        <v>100.61349</v>
      </c>
      <c r="G101" s="5">
        <v>120.2454</v>
      </c>
      <c r="H101" s="5">
        <v>130.55213000000001</v>
      </c>
      <c r="I101" s="5">
        <v>150.18404000000001</v>
      </c>
      <c r="J101" s="5">
        <v>166.87115</v>
      </c>
      <c r="K101" s="5">
        <v>188.46626000000001</v>
      </c>
      <c r="L101" s="5">
        <v>216.44173000000001</v>
      </c>
      <c r="M101" s="5">
        <v>232.63802999999999</v>
      </c>
      <c r="N101" s="5">
        <v>257.66869000000003</v>
      </c>
      <c r="O101" s="5">
        <v>279.26378999999997</v>
      </c>
      <c r="P101" s="5">
        <v>297.42329000000001</v>
      </c>
      <c r="Q101" s="5">
        <v>315.09199999999998</v>
      </c>
      <c r="R101" s="5">
        <v>327.85275000000001</v>
      </c>
      <c r="S101" s="5">
        <v>350.42941999999999</v>
      </c>
      <c r="T101" s="5" t="s">
        <v>458</v>
      </c>
      <c r="U101" s="5" t="s">
        <v>458</v>
      </c>
      <c r="V101" s="5" t="s">
        <v>458</v>
      </c>
      <c r="W101" s="5" t="s">
        <v>458</v>
      </c>
      <c r="X101" s="5" t="s">
        <v>458</v>
      </c>
      <c r="Y101" s="5" t="s">
        <v>458</v>
      </c>
      <c r="Z101" s="5" t="s">
        <v>458</v>
      </c>
      <c r="AA101" s="5" t="s">
        <v>458</v>
      </c>
      <c r="AB101" s="5" t="s">
        <v>458</v>
      </c>
      <c r="AC101" s="5" t="s">
        <v>458</v>
      </c>
      <c r="AD101" s="5" t="s">
        <v>458</v>
      </c>
      <c r="AE101" s="5" t="s">
        <v>458</v>
      </c>
      <c r="AF101" s="5" t="s">
        <v>458</v>
      </c>
      <c r="AG101" s="5" t="s">
        <v>458</v>
      </c>
      <c r="AH101" s="5" t="s">
        <v>458</v>
      </c>
      <c r="AI101" s="5" t="s">
        <v>458</v>
      </c>
      <c r="AJ101" s="5" t="s">
        <v>458</v>
      </c>
      <c r="AK101" s="5" t="s">
        <v>458</v>
      </c>
      <c r="AL101" s="5" t="s">
        <v>458</v>
      </c>
      <c r="AM101" s="5" t="s">
        <v>458</v>
      </c>
      <c r="AN101" s="5" t="s">
        <v>458</v>
      </c>
      <c r="AO101" s="5" t="s">
        <v>458</v>
      </c>
      <c r="AP101" s="5" t="s">
        <v>458</v>
      </c>
      <c r="AQ101" s="5" t="s">
        <v>458</v>
      </c>
      <c r="AR101" s="5" t="s">
        <v>458</v>
      </c>
      <c r="AS101" s="5" t="s">
        <v>458</v>
      </c>
      <c r="AT101" s="5" t="s">
        <v>458</v>
      </c>
      <c r="AU101" s="5" t="s">
        <v>458</v>
      </c>
      <c r="AV101" s="5" t="s">
        <v>458</v>
      </c>
      <c r="AW101" s="5" t="s">
        <v>458</v>
      </c>
      <c r="AX101" s="5" t="s">
        <v>458</v>
      </c>
      <c r="AY101" s="5" t="s">
        <v>458</v>
      </c>
      <c r="AZ101" s="5" t="s">
        <v>458</v>
      </c>
      <c r="BA101" s="5" t="s">
        <v>458</v>
      </c>
      <c r="BB101" s="5" t="s">
        <v>458</v>
      </c>
      <c r="BC101" s="5" t="s">
        <v>458</v>
      </c>
      <c r="BD101" s="5" t="s">
        <v>458</v>
      </c>
    </row>
    <row r="102" spans="1:56" x14ac:dyDescent="0.2">
      <c r="A102" s="317">
        <v>18</v>
      </c>
      <c r="B102" s="318" t="s">
        <v>369</v>
      </c>
      <c r="C102" s="318" t="s">
        <v>50</v>
      </c>
      <c r="D102" s="5">
        <v>25.061399999999999</v>
      </c>
      <c r="E102" s="5">
        <v>54.054049999999997</v>
      </c>
      <c r="F102" s="5">
        <v>73.21866</v>
      </c>
      <c r="G102" s="5">
        <v>101.22848</v>
      </c>
      <c r="H102" s="5">
        <v>134.15231</v>
      </c>
      <c r="I102" s="5">
        <v>119.90170000000001</v>
      </c>
      <c r="J102" s="5">
        <v>151.84272999999999</v>
      </c>
      <c r="K102" s="5">
        <v>170.51598000000001</v>
      </c>
      <c r="L102" s="5">
        <v>199.01721000000001</v>
      </c>
      <c r="M102" s="5">
        <v>225.06138999999999</v>
      </c>
      <c r="N102" s="5">
        <v>252.57984999999999</v>
      </c>
      <c r="O102" s="5">
        <v>278.13263999999998</v>
      </c>
      <c r="P102" s="5">
        <v>314.98768999999999</v>
      </c>
      <c r="Q102" s="5">
        <v>299.75427000000002</v>
      </c>
      <c r="R102" s="5">
        <v>333.66093999999998</v>
      </c>
      <c r="S102" s="5">
        <v>350.85991000000001</v>
      </c>
      <c r="T102" s="5" t="s">
        <v>458</v>
      </c>
      <c r="U102" s="5" t="s">
        <v>458</v>
      </c>
      <c r="V102" s="5" t="s">
        <v>458</v>
      </c>
      <c r="W102" s="5" t="s">
        <v>458</v>
      </c>
      <c r="X102" s="5" t="s">
        <v>458</v>
      </c>
      <c r="Y102" s="5" t="s">
        <v>458</v>
      </c>
      <c r="Z102" s="5" t="s">
        <v>458</v>
      </c>
      <c r="AA102" s="5" t="s">
        <v>458</v>
      </c>
      <c r="AB102" s="5" t="s">
        <v>458</v>
      </c>
      <c r="AC102" s="5" t="s">
        <v>458</v>
      </c>
      <c r="AD102" s="5" t="s">
        <v>458</v>
      </c>
      <c r="AE102" s="5" t="s">
        <v>458</v>
      </c>
      <c r="AF102" s="5" t="s">
        <v>458</v>
      </c>
      <c r="AG102" s="5" t="s">
        <v>458</v>
      </c>
      <c r="AH102" s="5" t="s">
        <v>458</v>
      </c>
      <c r="AI102" s="5" t="s">
        <v>458</v>
      </c>
      <c r="AJ102" s="5" t="s">
        <v>458</v>
      </c>
      <c r="AK102" s="5" t="s">
        <v>458</v>
      </c>
      <c r="AL102" s="5" t="s">
        <v>458</v>
      </c>
      <c r="AM102" s="5" t="s">
        <v>458</v>
      </c>
      <c r="AN102" s="5" t="s">
        <v>458</v>
      </c>
      <c r="AO102" s="5" t="s">
        <v>458</v>
      </c>
      <c r="AP102" s="5" t="s">
        <v>458</v>
      </c>
      <c r="AQ102" s="5" t="s">
        <v>458</v>
      </c>
      <c r="AR102" s="5" t="s">
        <v>458</v>
      </c>
      <c r="AS102" s="5" t="s">
        <v>458</v>
      </c>
      <c r="AT102" s="5" t="s">
        <v>458</v>
      </c>
      <c r="AU102" s="5" t="s">
        <v>458</v>
      </c>
      <c r="AV102" s="5" t="s">
        <v>458</v>
      </c>
      <c r="AW102" s="5" t="s">
        <v>458</v>
      </c>
      <c r="AX102" s="5" t="s">
        <v>458</v>
      </c>
      <c r="AY102" s="5" t="s">
        <v>458</v>
      </c>
      <c r="AZ102" s="5" t="s">
        <v>458</v>
      </c>
      <c r="BA102" s="5" t="s">
        <v>458</v>
      </c>
      <c r="BB102" s="5" t="s">
        <v>458</v>
      </c>
      <c r="BC102" s="5" t="s">
        <v>458</v>
      </c>
      <c r="BD102" s="5" t="s">
        <v>458</v>
      </c>
    </row>
    <row r="103" spans="1:56" x14ac:dyDescent="0.2">
      <c r="A103" s="317">
        <v>18</v>
      </c>
      <c r="B103" s="318" t="s">
        <v>370</v>
      </c>
      <c r="C103" s="318" t="s">
        <v>71</v>
      </c>
      <c r="D103" s="5">
        <v>33.906610000000001</v>
      </c>
      <c r="E103" s="5">
        <v>42.260429999999999</v>
      </c>
      <c r="F103" s="5">
        <v>50.614249999999998</v>
      </c>
      <c r="G103" s="5">
        <v>80.589680000000001</v>
      </c>
      <c r="H103" s="5">
        <v>102.21128</v>
      </c>
      <c r="I103" s="5">
        <v>113.51351</v>
      </c>
      <c r="J103" s="5">
        <v>124.81572</v>
      </c>
      <c r="K103" s="5">
        <v>132.67812000000001</v>
      </c>
      <c r="L103" s="5">
        <v>143.48894000000001</v>
      </c>
      <c r="M103" s="5">
        <v>149.38573</v>
      </c>
      <c r="N103" s="5">
        <v>164.61914999999999</v>
      </c>
      <c r="O103" s="5">
        <v>179.36118999999999</v>
      </c>
      <c r="P103" s="5">
        <v>202.45697999999999</v>
      </c>
      <c r="Q103" s="5">
        <v>215.72479000000001</v>
      </c>
      <c r="R103" s="5">
        <v>243.24324999999999</v>
      </c>
      <c r="S103" s="5">
        <v>269.28742999999997</v>
      </c>
      <c r="T103" s="5">
        <v>312.53070000000002</v>
      </c>
      <c r="U103" s="5">
        <v>331.69533000000001</v>
      </c>
      <c r="V103" s="5">
        <v>350.85991000000001</v>
      </c>
      <c r="W103" s="5" t="s">
        <v>458</v>
      </c>
      <c r="X103" s="5" t="s">
        <v>458</v>
      </c>
      <c r="Y103" s="5" t="s">
        <v>458</v>
      </c>
      <c r="Z103" s="5" t="s">
        <v>458</v>
      </c>
      <c r="AA103" s="5" t="s">
        <v>458</v>
      </c>
      <c r="AB103" s="5" t="s">
        <v>458</v>
      </c>
      <c r="AC103" s="5" t="s">
        <v>458</v>
      </c>
      <c r="AD103" s="5" t="s">
        <v>458</v>
      </c>
      <c r="AE103" s="5" t="s">
        <v>458</v>
      </c>
      <c r="AF103" s="5" t="s">
        <v>458</v>
      </c>
      <c r="AG103" s="5" t="s">
        <v>458</v>
      </c>
      <c r="AH103" s="5" t="s">
        <v>458</v>
      </c>
      <c r="AI103" s="5" t="s">
        <v>458</v>
      </c>
      <c r="AJ103" s="5" t="s">
        <v>458</v>
      </c>
      <c r="AK103" s="5" t="s">
        <v>458</v>
      </c>
      <c r="AL103" s="5" t="s">
        <v>458</v>
      </c>
      <c r="AM103" s="5" t="s">
        <v>458</v>
      </c>
      <c r="AN103" s="5" t="s">
        <v>458</v>
      </c>
      <c r="AO103" s="5" t="s">
        <v>458</v>
      </c>
      <c r="AP103" s="5" t="s">
        <v>458</v>
      </c>
      <c r="AQ103" s="5" t="s">
        <v>458</v>
      </c>
      <c r="AR103" s="5" t="s">
        <v>458</v>
      </c>
      <c r="AS103" s="5" t="s">
        <v>458</v>
      </c>
      <c r="AT103" s="5" t="s">
        <v>458</v>
      </c>
      <c r="AU103" s="5" t="s">
        <v>458</v>
      </c>
      <c r="AV103" s="5" t="s">
        <v>458</v>
      </c>
      <c r="AW103" s="5" t="s">
        <v>458</v>
      </c>
      <c r="AX103" s="5" t="s">
        <v>458</v>
      </c>
      <c r="AY103" s="5" t="s">
        <v>458</v>
      </c>
      <c r="AZ103" s="5" t="s">
        <v>458</v>
      </c>
      <c r="BA103" s="5" t="s">
        <v>458</v>
      </c>
      <c r="BB103" s="5" t="s">
        <v>458</v>
      </c>
      <c r="BC103" s="5" t="s">
        <v>458</v>
      </c>
      <c r="BD103" s="5" t="s">
        <v>458</v>
      </c>
    </row>
    <row r="104" spans="1:56" x14ac:dyDescent="0.2">
      <c r="A104" s="317">
        <v>18</v>
      </c>
      <c r="B104" s="318" t="s">
        <v>371</v>
      </c>
      <c r="C104" s="318" t="s">
        <v>72</v>
      </c>
      <c r="D104" s="5">
        <v>28.009820000000001</v>
      </c>
      <c r="E104" s="5">
        <v>36.855020000000003</v>
      </c>
      <c r="F104" s="5">
        <v>43.24324</v>
      </c>
      <c r="G104" s="5">
        <v>47.174430000000001</v>
      </c>
      <c r="H104" s="5">
        <v>52.579830000000001</v>
      </c>
      <c r="I104" s="5">
        <v>77.641270000000006</v>
      </c>
      <c r="J104" s="5">
        <v>100.2457</v>
      </c>
      <c r="K104" s="5">
        <v>113.02209999999999</v>
      </c>
      <c r="L104" s="5">
        <v>123.83291</v>
      </c>
      <c r="M104" s="5">
        <v>134.64373000000001</v>
      </c>
      <c r="N104" s="5">
        <v>150.36854</v>
      </c>
      <c r="O104" s="5">
        <v>163.14492999999999</v>
      </c>
      <c r="P104" s="5">
        <v>185.25794999999999</v>
      </c>
      <c r="Q104" s="5">
        <v>214.25058000000001</v>
      </c>
      <c r="R104" s="5">
        <v>246.68302</v>
      </c>
      <c r="S104" s="5">
        <v>270.76164999999997</v>
      </c>
      <c r="T104" s="5">
        <v>293.85750000000002</v>
      </c>
      <c r="U104" s="5">
        <v>322.35867999999999</v>
      </c>
      <c r="V104" s="5">
        <v>336.60932000000003</v>
      </c>
      <c r="W104" s="5">
        <v>351.35136</v>
      </c>
      <c r="X104" s="5" t="s">
        <v>458</v>
      </c>
      <c r="Y104" s="5" t="s">
        <v>458</v>
      </c>
      <c r="Z104" s="5" t="s">
        <v>458</v>
      </c>
      <c r="AA104" s="5" t="s">
        <v>458</v>
      </c>
      <c r="AB104" s="5" t="s">
        <v>458</v>
      </c>
      <c r="AC104" s="5" t="s">
        <v>458</v>
      </c>
      <c r="AD104" s="5" t="s">
        <v>458</v>
      </c>
      <c r="AE104" s="5" t="s">
        <v>458</v>
      </c>
      <c r="AF104" s="5" t="s">
        <v>458</v>
      </c>
      <c r="AG104" s="5" t="s">
        <v>458</v>
      </c>
      <c r="AH104" s="5" t="s">
        <v>458</v>
      </c>
      <c r="AI104" s="5" t="s">
        <v>458</v>
      </c>
      <c r="AJ104" s="5" t="s">
        <v>458</v>
      </c>
      <c r="AK104" s="5" t="s">
        <v>458</v>
      </c>
      <c r="AL104" s="5" t="s">
        <v>458</v>
      </c>
      <c r="AM104" s="5" t="s">
        <v>458</v>
      </c>
      <c r="AN104" s="5" t="s">
        <v>458</v>
      </c>
      <c r="AO104" s="5" t="s">
        <v>458</v>
      </c>
      <c r="AP104" s="5" t="s">
        <v>458</v>
      </c>
      <c r="AQ104" s="5" t="s">
        <v>458</v>
      </c>
      <c r="AR104" s="5" t="s">
        <v>458</v>
      </c>
      <c r="AS104" s="5" t="s">
        <v>458</v>
      </c>
      <c r="AT104" s="5" t="s">
        <v>458</v>
      </c>
      <c r="AU104" s="5" t="s">
        <v>458</v>
      </c>
      <c r="AV104" s="5" t="s">
        <v>458</v>
      </c>
      <c r="AW104" s="5" t="s">
        <v>458</v>
      </c>
      <c r="AX104" s="5" t="s">
        <v>458</v>
      </c>
      <c r="AY104" s="5" t="s">
        <v>458</v>
      </c>
      <c r="AZ104" s="5" t="s">
        <v>458</v>
      </c>
      <c r="BA104" s="5" t="s">
        <v>458</v>
      </c>
      <c r="BB104" s="5" t="s">
        <v>458</v>
      </c>
      <c r="BC104" s="5" t="s">
        <v>458</v>
      </c>
      <c r="BD104" s="5" t="s">
        <v>458</v>
      </c>
    </row>
    <row r="105" spans="1:56" x14ac:dyDescent="0.2">
      <c r="A105" s="317">
        <v>18</v>
      </c>
      <c r="B105" s="318" t="s">
        <v>372</v>
      </c>
      <c r="C105" s="318" t="s">
        <v>73</v>
      </c>
      <c r="D105" s="5">
        <v>51.105640000000001</v>
      </c>
      <c r="E105" s="5">
        <v>74.692850000000007</v>
      </c>
      <c r="F105" s="5">
        <v>88.943470000000005</v>
      </c>
      <c r="G105" s="5">
        <v>103.19409</v>
      </c>
      <c r="H105" s="5">
        <v>108.59949</v>
      </c>
      <c r="I105" s="5">
        <v>114.00490000000001</v>
      </c>
      <c r="J105" s="5">
        <v>117.93612</v>
      </c>
      <c r="K105" s="5">
        <v>124.32429999999999</v>
      </c>
      <c r="L105" s="5">
        <v>130.22112999999999</v>
      </c>
      <c r="M105" s="5">
        <v>135.13512</v>
      </c>
      <c r="N105" s="5">
        <v>140.54052999999999</v>
      </c>
      <c r="O105" s="5">
        <v>143.98033000000001</v>
      </c>
      <c r="P105" s="5">
        <v>148.40293</v>
      </c>
      <c r="Q105" s="5">
        <v>150.36854</v>
      </c>
      <c r="R105" s="5">
        <v>169.53315000000001</v>
      </c>
      <c r="S105" s="5">
        <v>183.78379000000001</v>
      </c>
      <c r="T105" s="5">
        <v>199.01721000000001</v>
      </c>
      <c r="U105" s="5">
        <v>216.70762999999999</v>
      </c>
      <c r="V105" s="5">
        <v>239.80341999999999</v>
      </c>
      <c r="W105" s="5">
        <v>266.33904999999999</v>
      </c>
      <c r="X105" s="5">
        <v>291.40044999999998</v>
      </c>
      <c r="Y105" s="5">
        <v>313.02208000000002</v>
      </c>
      <c r="Z105" s="5">
        <v>333.16950000000003</v>
      </c>
      <c r="AA105" s="5">
        <v>345.94592</v>
      </c>
      <c r="AB105" s="5">
        <v>350.85991000000001</v>
      </c>
      <c r="AC105" s="5" t="s">
        <v>458</v>
      </c>
      <c r="AD105" s="5" t="s">
        <v>458</v>
      </c>
      <c r="AE105" s="5" t="s">
        <v>458</v>
      </c>
      <c r="AF105" s="5" t="s">
        <v>458</v>
      </c>
      <c r="AG105" s="5" t="s">
        <v>458</v>
      </c>
      <c r="AH105" s="5" t="s">
        <v>458</v>
      </c>
      <c r="AI105" s="5" t="s">
        <v>458</v>
      </c>
      <c r="AJ105" s="5" t="s">
        <v>458</v>
      </c>
      <c r="AK105" s="5" t="s">
        <v>458</v>
      </c>
      <c r="AL105" s="5" t="s">
        <v>458</v>
      </c>
      <c r="AM105" s="5" t="s">
        <v>458</v>
      </c>
      <c r="AN105" s="5" t="s">
        <v>458</v>
      </c>
      <c r="AO105" s="5" t="s">
        <v>458</v>
      </c>
      <c r="AP105" s="5" t="s">
        <v>458</v>
      </c>
      <c r="AQ105" s="5" t="s">
        <v>458</v>
      </c>
      <c r="AR105" s="5" t="s">
        <v>458</v>
      </c>
      <c r="AS105" s="5" t="s">
        <v>458</v>
      </c>
      <c r="AT105" s="5" t="s">
        <v>458</v>
      </c>
      <c r="AU105" s="5" t="s">
        <v>458</v>
      </c>
      <c r="AV105" s="5" t="s">
        <v>458</v>
      </c>
      <c r="AW105" s="5" t="s">
        <v>458</v>
      </c>
      <c r="AX105" s="5" t="s">
        <v>458</v>
      </c>
      <c r="AY105" s="5" t="s">
        <v>458</v>
      </c>
      <c r="AZ105" s="5" t="s">
        <v>458</v>
      </c>
      <c r="BA105" s="5" t="s">
        <v>458</v>
      </c>
      <c r="BB105" s="5" t="s">
        <v>458</v>
      </c>
      <c r="BC105" s="5" t="s">
        <v>458</v>
      </c>
      <c r="BD105" s="5" t="s">
        <v>458</v>
      </c>
    </row>
    <row r="106" spans="1:56" x14ac:dyDescent="0.2">
      <c r="A106" s="317">
        <v>18</v>
      </c>
      <c r="B106" s="318" t="s">
        <v>351</v>
      </c>
      <c r="C106" s="318" t="s">
        <v>74</v>
      </c>
      <c r="D106" s="5">
        <v>27.518429999999999</v>
      </c>
      <c r="E106" s="5">
        <v>51.105640000000001</v>
      </c>
      <c r="F106" s="5">
        <v>74.692850000000007</v>
      </c>
      <c r="G106" s="5">
        <v>102.21128</v>
      </c>
      <c r="H106" s="5">
        <v>110.07369</v>
      </c>
      <c r="I106" s="5">
        <v>119.41031</v>
      </c>
      <c r="J106" s="5">
        <v>122.85011</v>
      </c>
      <c r="K106" s="5">
        <v>130.71251000000001</v>
      </c>
      <c r="L106" s="5">
        <v>134.15231</v>
      </c>
      <c r="M106" s="5">
        <v>140.54052999999999</v>
      </c>
      <c r="N106" s="5">
        <v>145.45455000000001</v>
      </c>
      <c r="O106" s="5">
        <v>150.36854</v>
      </c>
      <c r="P106" s="5">
        <v>163.14492999999999</v>
      </c>
      <c r="Q106" s="5">
        <v>178.37835000000001</v>
      </c>
      <c r="R106" s="5">
        <v>199.99999</v>
      </c>
      <c r="S106" s="5">
        <v>222.6044</v>
      </c>
      <c r="T106" s="5">
        <v>241.27763999999999</v>
      </c>
      <c r="U106" s="5">
        <v>258.47662000000003</v>
      </c>
      <c r="V106" s="5">
        <v>279.11547000000002</v>
      </c>
      <c r="W106" s="5">
        <v>298.28010999999998</v>
      </c>
      <c r="X106" s="5">
        <v>317.93608</v>
      </c>
      <c r="Y106" s="5">
        <v>333.66093999999998</v>
      </c>
      <c r="Z106" s="5">
        <v>350.36851999999999</v>
      </c>
      <c r="AA106" s="5" t="s">
        <v>458</v>
      </c>
      <c r="AB106" s="5" t="s">
        <v>458</v>
      </c>
      <c r="AC106" s="5" t="s">
        <v>458</v>
      </c>
      <c r="AD106" s="5" t="s">
        <v>458</v>
      </c>
      <c r="AE106" s="5" t="s">
        <v>458</v>
      </c>
      <c r="AF106" s="5" t="s">
        <v>458</v>
      </c>
      <c r="AG106" s="5" t="s">
        <v>458</v>
      </c>
      <c r="AH106" s="5" t="s">
        <v>458</v>
      </c>
      <c r="AI106" s="5" t="s">
        <v>458</v>
      </c>
      <c r="AJ106" s="5" t="s">
        <v>458</v>
      </c>
      <c r="AK106" s="5" t="s">
        <v>458</v>
      </c>
      <c r="AL106" s="5" t="s">
        <v>458</v>
      </c>
      <c r="AM106" s="5" t="s">
        <v>458</v>
      </c>
      <c r="AN106" s="5" t="s">
        <v>458</v>
      </c>
      <c r="AO106" s="5" t="s">
        <v>458</v>
      </c>
      <c r="AP106" s="5" t="s">
        <v>458</v>
      </c>
      <c r="AQ106" s="5" t="s">
        <v>458</v>
      </c>
      <c r="AR106" s="5" t="s">
        <v>458</v>
      </c>
      <c r="AS106" s="5" t="s">
        <v>458</v>
      </c>
      <c r="AT106" s="5" t="s">
        <v>458</v>
      </c>
      <c r="AU106" s="5" t="s">
        <v>458</v>
      </c>
      <c r="AV106" s="5" t="s">
        <v>458</v>
      </c>
      <c r="AW106" s="5" t="s">
        <v>458</v>
      </c>
      <c r="AX106" s="5" t="s">
        <v>458</v>
      </c>
      <c r="AY106" s="5" t="s">
        <v>458</v>
      </c>
      <c r="AZ106" s="5" t="s">
        <v>458</v>
      </c>
      <c r="BA106" s="5" t="s">
        <v>458</v>
      </c>
      <c r="BB106" s="5" t="s">
        <v>458</v>
      </c>
      <c r="BC106" s="5" t="s">
        <v>458</v>
      </c>
      <c r="BD106" s="5" t="s">
        <v>458</v>
      </c>
    </row>
    <row r="107" spans="1:56" x14ac:dyDescent="0.2">
      <c r="A107" s="317">
        <v>18</v>
      </c>
      <c r="B107" s="318" t="s">
        <v>373</v>
      </c>
      <c r="C107" s="318" t="s">
        <v>50</v>
      </c>
      <c r="D107" s="313">
        <v>10.82896</v>
      </c>
      <c r="E107" s="313">
        <v>15.99161</v>
      </c>
      <c r="F107" s="313">
        <v>21.783840000000001</v>
      </c>
      <c r="G107" s="313">
        <v>26.19098</v>
      </c>
      <c r="H107" s="313">
        <v>28.079750000000001</v>
      </c>
      <c r="I107" s="313">
        <v>33.11647</v>
      </c>
      <c r="J107" s="313">
        <v>40.419730000000001</v>
      </c>
      <c r="K107" s="313">
        <v>45.960129999999999</v>
      </c>
      <c r="L107" s="313">
        <v>51.752360000000003</v>
      </c>
      <c r="M107" s="313">
        <v>55.529910000000001</v>
      </c>
      <c r="N107" s="313">
        <v>61.448059999999998</v>
      </c>
      <c r="O107" s="313">
        <v>70.640079999999998</v>
      </c>
      <c r="P107" s="313">
        <v>79.328440000000001</v>
      </c>
      <c r="Q107" s="313">
        <v>84.617000000000004</v>
      </c>
      <c r="R107" s="313">
        <v>92.046170000000004</v>
      </c>
      <c r="S107" s="313">
        <v>100.48269000000001</v>
      </c>
      <c r="T107" s="313">
        <v>104.88982</v>
      </c>
      <c r="U107" s="313">
        <v>108.54145</v>
      </c>
      <c r="V107" s="313">
        <v>111.94123999999999</v>
      </c>
      <c r="W107" s="5" t="s">
        <v>458</v>
      </c>
      <c r="X107" s="5" t="s">
        <v>458</v>
      </c>
      <c r="Y107" s="5" t="s">
        <v>458</v>
      </c>
      <c r="Z107" s="5" t="s">
        <v>458</v>
      </c>
      <c r="AA107" s="5" t="s">
        <v>458</v>
      </c>
      <c r="AB107" s="5" t="s">
        <v>458</v>
      </c>
      <c r="AC107" s="5" t="s">
        <v>458</v>
      </c>
      <c r="AD107" s="5" t="s">
        <v>458</v>
      </c>
      <c r="AE107" s="5" t="s">
        <v>458</v>
      </c>
      <c r="AF107" s="5" t="s">
        <v>458</v>
      </c>
      <c r="AG107" s="5" t="s">
        <v>458</v>
      </c>
      <c r="AH107" s="5" t="s">
        <v>458</v>
      </c>
      <c r="AI107" s="5" t="s">
        <v>458</v>
      </c>
      <c r="AJ107" s="5" t="s">
        <v>458</v>
      </c>
      <c r="AK107" s="5" t="s">
        <v>458</v>
      </c>
      <c r="AL107" s="5" t="s">
        <v>458</v>
      </c>
      <c r="AM107" s="5" t="s">
        <v>458</v>
      </c>
      <c r="AN107" s="5" t="s">
        <v>458</v>
      </c>
      <c r="AO107" s="5" t="s">
        <v>458</v>
      </c>
      <c r="AP107" s="5" t="s">
        <v>458</v>
      </c>
      <c r="AQ107" s="5" t="s">
        <v>458</v>
      </c>
      <c r="AR107" s="5" t="s">
        <v>458</v>
      </c>
      <c r="AS107" s="5" t="s">
        <v>458</v>
      </c>
      <c r="AT107" s="5" t="s">
        <v>458</v>
      </c>
      <c r="AU107" s="5" t="s">
        <v>458</v>
      </c>
      <c r="AV107" s="5" t="s">
        <v>458</v>
      </c>
      <c r="AW107" s="5" t="s">
        <v>458</v>
      </c>
      <c r="AX107" s="5" t="s">
        <v>458</v>
      </c>
      <c r="AY107" s="5" t="s">
        <v>458</v>
      </c>
      <c r="AZ107" s="5" t="s">
        <v>458</v>
      </c>
      <c r="BA107" s="5" t="s">
        <v>458</v>
      </c>
      <c r="BB107" s="5" t="s">
        <v>458</v>
      </c>
      <c r="BC107" s="5" t="s">
        <v>458</v>
      </c>
      <c r="BD107" s="5" t="s">
        <v>458</v>
      </c>
    </row>
    <row r="108" spans="1:56" x14ac:dyDescent="0.2">
      <c r="A108" s="317">
        <v>18</v>
      </c>
      <c r="B108" s="318" t="s">
        <v>374</v>
      </c>
      <c r="C108" s="318" t="s">
        <v>71</v>
      </c>
      <c r="D108" s="5">
        <v>39.047609999999999</v>
      </c>
      <c r="E108" s="5">
        <v>50.000010000000003</v>
      </c>
      <c r="F108" s="5">
        <v>63.809539999999998</v>
      </c>
      <c r="G108" s="5">
        <v>78.095240000000004</v>
      </c>
      <c r="H108" s="5">
        <v>84.761899999999997</v>
      </c>
      <c r="I108" s="5">
        <v>90.476209999999995</v>
      </c>
      <c r="J108" s="5">
        <v>95.238100000000003</v>
      </c>
      <c r="K108" s="5">
        <v>98.095249999999993</v>
      </c>
      <c r="L108" s="5">
        <v>115.23811000000001</v>
      </c>
      <c r="M108" s="5">
        <v>133.33335</v>
      </c>
      <c r="N108" s="5">
        <v>150</v>
      </c>
      <c r="O108" s="5">
        <v>171.42858000000001</v>
      </c>
      <c r="P108" s="5">
        <v>350.00002000000001</v>
      </c>
      <c r="Q108" s="5" t="s">
        <v>458</v>
      </c>
      <c r="R108" s="5" t="s">
        <v>458</v>
      </c>
      <c r="S108" s="5" t="s">
        <v>458</v>
      </c>
      <c r="T108" s="5" t="s">
        <v>458</v>
      </c>
      <c r="U108" s="5" t="s">
        <v>458</v>
      </c>
      <c r="V108" s="5" t="s">
        <v>458</v>
      </c>
      <c r="W108" s="5" t="s">
        <v>458</v>
      </c>
      <c r="X108" s="5" t="s">
        <v>458</v>
      </c>
      <c r="Y108" s="5" t="s">
        <v>458</v>
      </c>
      <c r="Z108" s="5" t="s">
        <v>458</v>
      </c>
      <c r="AA108" s="5" t="s">
        <v>458</v>
      </c>
      <c r="AB108" s="5" t="s">
        <v>458</v>
      </c>
      <c r="AC108" s="5" t="s">
        <v>458</v>
      </c>
      <c r="AD108" s="5" t="s">
        <v>458</v>
      </c>
      <c r="AE108" s="5" t="s">
        <v>458</v>
      </c>
      <c r="AF108" s="5" t="s">
        <v>458</v>
      </c>
      <c r="AG108" s="5" t="s">
        <v>458</v>
      </c>
      <c r="AH108" s="5" t="s">
        <v>458</v>
      </c>
      <c r="AI108" s="5" t="s">
        <v>458</v>
      </c>
      <c r="AJ108" s="5" t="s">
        <v>458</v>
      </c>
      <c r="AK108" s="5" t="s">
        <v>458</v>
      </c>
      <c r="AL108" s="5" t="s">
        <v>458</v>
      </c>
      <c r="AM108" s="5" t="s">
        <v>458</v>
      </c>
      <c r="AN108" s="5" t="s">
        <v>458</v>
      </c>
      <c r="AO108" s="5" t="s">
        <v>458</v>
      </c>
      <c r="AP108" s="5" t="s">
        <v>458</v>
      </c>
      <c r="AQ108" s="5" t="s">
        <v>458</v>
      </c>
      <c r="AR108" s="5" t="s">
        <v>458</v>
      </c>
      <c r="AS108" s="5" t="s">
        <v>458</v>
      </c>
      <c r="AT108" s="5" t="s">
        <v>458</v>
      </c>
      <c r="AU108" s="5" t="s">
        <v>458</v>
      </c>
      <c r="AV108" s="5" t="s">
        <v>458</v>
      </c>
      <c r="AW108" s="5" t="s">
        <v>458</v>
      </c>
      <c r="AX108" s="5" t="s">
        <v>458</v>
      </c>
      <c r="AY108" s="5" t="s">
        <v>458</v>
      </c>
      <c r="AZ108" s="5" t="s">
        <v>458</v>
      </c>
      <c r="BA108" s="5" t="s">
        <v>458</v>
      </c>
      <c r="BB108" s="5" t="s">
        <v>458</v>
      </c>
      <c r="BC108" s="5" t="s">
        <v>458</v>
      </c>
      <c r="BD108" s="5" t="s">
        <v>458</v>
      </c>
    </row>
    <row r="109" spans="1:56" x14ac:dyDescent="0.2">
      <c r="A109" s="317">
        <v>18</v>
      </c>
      <c r="B109" s="318" t="s">
        <v>375</v>
      </c>
      <c r="C109" s="318" t="s">
        <v>72</v>
      </c>
      <c r="D109" s="5">
        <v>40.952379999999998</v>
      </c>
      <c r="E109" s="5">
        <v>46.190469999999998</v>
      </c>
      <c r="F109" s="5">
        <v>50.952390000000001</v>
      </c>
      <c r="G109" s="5">
        <v>77.142859999999999</v>
      </c>
      <c r="H109" s="5">
        <v>86.666669999999996</v>
      </c>
      <c r="I109" s="5">
        <v>101.42858</v>
      </c>
      <c r="J109" s="5">
        <v>113.80952000000001</v>
      </c>
      <c r="K109" s="5">
        <v>129.99999</v>
      </c>
      <c r="L109" s="5">
        <v>150.47621000000001</v>
      </c>
      <c r="M109" s="5">
        <v>165.71430000000001</v>
      </c>
      <c r="N109" s="5">
        <v>186.66668999999999</v>
      </c>
      <c r="O109" s="5">
        <v>203.33337</v>
      </c>
      <c r="P109" s="5">
        <v>219.52382</v>
      </c>
      <c r="Q109" s="5">
        <v>242.38097999999999</v>
      </c>
      <c r="R109" s="5">
        <v>259.52384000000001</v>
      </c>
      <c r="S109" s="5">
        <v>279.52382</v>
      </c>
      <c r="T109" s="5">
        <v>301.90480000000002</v>
      </c>
      <c r="U109" s="5">
        <v>324.76191</v>
      </c>
      <c r="V109" s="5">
        <v>350.95242999999999</v>
      </c>
      <c r="W109" s="5" t="s">
        <v>458</v>
      </c>
      <c r="X109" s="5" t="s">
        <v>458</v>
      </c>
      <c r="Y109" s="5" t="s">
        <v>458</v>
      </c>
      <c r="Z109" s="5" t="s">
        <v>458</v>
      </c>
      <c r="AA109" s="5" t="s">
        <v>458</v>
      </c>
      <c r="AB109" s="5" t="s">
        <v>458</v>
      </c>
      <c r="AC109" s="5" t="s">
        <v>458</v>
      </c>
      <c r="AD109" s="5" t="s">
        <v>458</v>
      </c>
      <c r="AE109" s="5" t="s">
        <v>458</v>
      </c>
      <c r="AF109" s="5" t="s">
        <v>458</v>
      </c>
      <c r="AG109" s="5" t="s">
        <v>458</v>
      </c>
      <c r="AH109" s="5" t="s">
        <v>458</v>
      </c>
      <c r="AI109" s="5" t="s">
        <v>458</v>
      </c>
      <c r="AJ109" s="5" t="s">
        <v>458</v>
      </c>
      <c r="AK109" s="5" t="s">
        <v>458</v>
      </c>
      <c r="AL109" s="5" t="s">
        <v>458</v>
      </c>
      <c r="AM109" s="5" t="s">
        <v>458</v>
      </c>
      <c r="AN109" s="5" t="s">
        <v>458</v>
      </c>
      <c r="AO109" s="5" t="s">
        <v>458</v>
      </c>
      <c r="AP109" s="5" t="s">
        <v>458</v>
      </c>
      <c r="AQ109" s="5" t="s">
        <v>458</v>
      </c>
      <c r="AR109" s="5" t="s">
        <v>458</v>
      </c>
      <c r="AS109" s="5" t="s">
        <v>458</v>
      </c>
      <c r="AT109" s="5" t="s">
        <v>458</v>
      </c>
      <c r="AU109" s="5" t="s">
        <v>458</v>
      </c>
      <c r="AV109" s="5" t="s">
        <v>458</v>
      </c>
      <c r="AW109" s="5" t="s">
        <v>458</v>
      </c>
      <c r="AX109" s="5" t="s">
        <v>458</v>
      </c>
      <c r="AY109" s="5" t="s">
        <v>458</v>
      </c>
      <c r="AZ109" s="5" t="s">
        <v>458</v>
      </c>
      <c r="BA109" s="5" t="s">
        <v>458</v>
      </c>
      <c r="BB109" s="5" t="s">
        <v>458</v>
      </c>
      <c r="BC109" s="5" t="s">
        <v>458</v>
      </c>
      <c r="BD109" s="5" t="s">
        <v>458</v>
      </c>
    </row>
    <row r="110" spans="1:56" x14ac:dyDescent="0.2">
      <c r="A110" s="317">
        <v>18</v>
      </c>
      <c r="B110" s="318" t="s">
        <v>376</v>
      </c>
      <c r="C110" s="318" t="s">
        <v>73</v>
      </c>
      <c r="D110" s="5">
        <v>52.380960000000002</v>
      </c>
      <c r="E110" s="5">
        <v>75.714299999999994</v>
      </c>
      <c r="F110" s="5">
        <v>102.38097</v>
      </c>
      <c r="G110" s="5">
        <v>114.28573</v>
      </c>
      <c r="H110" s="5">
        <v>121.90477</v>
      </c>
      <c r="I110" s="5">
        <v>133.80953</v>
      </c>
      <c r="J110" s="5">
        <v>141.90477999999999</v>
      </c>
      <c r="K110" s="5">
        <v>151.42859000000001</v>
      </c>
      <c r="L110" s="5">
        <v>172.85715999999999</v>
      </c>
      <c r="M110" s="5">
        <v>189.04764</v>
      </c>
      <c r="N110" s="5">
        <v>205.71431999999999</v>
      </c>
      <c r="O110" s="5">
        <v>225.71430000000001</v>
      </c>
      <c r="P110" s="5">
        <v>244.28575000000001</v>
      </c>
      <c r="Q110" s="5">
        <v>260.00000999999997</v>
      </c>
      <c r="R110" s="5">
        <v>274.76193000000001</v>
      </c>
      <c r="S110" s="5">
        <v>290.47618999999997</v>
      </c>
      <c r="T110" s="5">
        <v>310</v>
      </c>
      <c r="U110" s="5">
        <v>321.90478000000002</v>
      </c>
      <c r="V110" s="5">
        <v>335.71427999999997</v>
      </c>
      <c r="W110" s="5">
        <v>350.00002000000001</v>
      </c>
      <c r="X110" s="5" t="s">
        <v>458</v>
      </c>
      <c r="Y110" s="5" t="s">
        <v>458</v>
      </c>
      <c r="Z110" s="5" t="s">
        <v>458</v>
      </c>
      <c r="AA110" s="5" t="s">
        <v>458</v>
      </c>
      <c r="AB110" s="5" t="s">
        <v>458</v>
      </c>
      <c r="AC110" s="5" t="s">
        <v>458</v>
      </c>
      <c r="AD110" s="5" t="s">
        <v>458</v>
      </c>
      <c r="AE110" s="5" t="s">
        <v>458</v>
      </c>
      <c r="AF110" s="5" t="s">
        <v>458</v>
      </c>
      <c r="AG110" s="5" t="s">
        <v>458</v>
      </c>
      <c r="AH110" s="5" t="s">
        <v>458</v>
      </c>
      <c r="AI110" s="5" t="s">
        <v>458</v>
      </c>
      <c r="AJ110" s="5" t="s">
        <v>458</v>
      </c>
      <c r="AK110" s="5" t="s">
        <v>458</v>
      </c>
      <c r="AL110" s="5" t="s">
        <v>458</v>
      </c>
      <c r="AM110" s="5" t="s">
        <v>458</v>
      </c>
      <c r="AN110" s="5" t="s">
        <v>458</v>
      </c>
      <c r="AO110" s="5" t="s">
        <v>458</v>
      </c>
      <c r="AP110" s="5" t="s">
        <v>458</v>
      </c>
      <c r="AQ110" s="5" t="s">
        <v>458</v>
      </c>
      <c r="AR110" s="5" t="s">
        <v>458</v>
      </c>
      <c r="AS110" s="5" t="s">
        <v>458</v>
      </c>
      <c r="AT110" s="5" t="s">
        <v>458</v>
      </c>
      <c r="AU110" s="5" t="s">
        <v>458</v>
      </c>
      <c r="AV110" s="5" t="s">
        <v>458</v>
      </c>
      <c r="AW110" s="5" t="s">
        <v>458</v>
      </c>
      <c r="AX110" s="5" t="s">
        <v>458</v>
      </c>
      <c r="AY110" s="5" t="s">
        <v>458</v>
      </c>
      <c r="AZ110" s="5" t="s">
        <v>458</v>
      </c>
      <c r="BA110" s="5" t="s">
        <v>458</v>
      </c>
      <c r="BB110" s="5" t="s">
        <v>458</v>
      </c>
      <c r="BC110" s="5" t="s">
        <v>458</v>
      </c>
      <c r="BD110" s="5" t="s">
        <v>458</v>
      </c>
    </row>
    <row r="111" spans="1:56" s="19" customFormat="1" x14ac:dyDescent="0.2">
      <c r="A111" s="319">
        <v>18</v>
      </c>
      <c r="B111" s="320" t="s">
        <v>377</v>
      </c>
      <c r="C111" s="320" t="s">
        <v>74</v>
      </c>
      <c r="D111" s="19">
        <v>25.714289999999998</v>
      </c>
      <c r="E111" s="19">
        <v>48.571420000000003</v>
      </c>
      <c r="F111" s="19">
        <v>74.76191</v>
      </c>
      <c r="G111" s="19">
        <v>102.38097</v>
      </c>
      <c r="H111" s="19">
        <v>111.90478</v>
      </c>
      <c r="I111" s="19">
        <v>122.38095</v>
      </c>
      <c r="J111" s="19">
        <v>129.99999</v>
      </c>
      <c r="K111" s="19">
        <v>143.80951999999999</v>
      </c>
      <c r="L111" s="19">
        <v>149.52382</v>
      </c>
      <c r="M111" s="19">
        <v>162.85714999999999</v>
      </c>
      <c r="N111" s="19">
        <v>182.85715999999999</v>
      </c>
      <c r="O111" s="19">
        <v>201.90477999999999</v>
      </c>
      <c r="P111" s="19">
        <v>227.61906999999999</v>
      </c>
      <c r="Q111" s="19">
        <v>246.19050999999999</v>
      </c>
      <c r="R111" s="19">
        <v>270.95238999999998</v>
      </c>
      <c r="S111" s="19">
        <v>289.52384000000001</v>
      </c>
      <c r="T111" s="19">
        <v>304.76193000000001</v>
      </c>
      <c r="U111" s="19">
        <v>319.52384000000001</v>
      </c>
      <c r="V111" s="19">
        <v>330.47620999999998</v>
      </c>
      <c r="W111" s="19">
        <v>348.57143000000002</v>
      </c>
      <c r="X111" s="19" t="s">
        <v>458</v>
      </c>
      <c r="Y111" s="19" t="s">
        <v>458</v>
      </c>
      <c r="Z111" s="19" t="s">
        <v>458</v>
      </c>
      <c r="AA111" s="19" t="s">
        <v>458</v>
      </c>
      <c r="AB111" s="19" t="s">
        <v>458</v>
      </c>
      <c r="AC111" s="19" t="s">
        <v>458</v>
      </c>
      <c r="AD111" s="19" t="s">
        <v>458</v>
      </c>
      <c r="AE111" s="19" t="s">
        <v>458</v>
      </c>
      <c r="AF111" s="19" t="s">
        <v>458</v>
      </c>
      <c r="AG111" s="19" t="s">
        <v>458</v>
      </c>
      <c r="AH111" s="19" t="s">
        <v>458</v>
      </c>
      <c r="AI111" s="19" t="s">
        <v>458</v>
      </c>
      <c r="AJ111" s="19" t="s">
        <v>458</v>
      </c>
      <c r="AK111" s="19" t="s">
        <v>458</v>
      </c>
      <c r="AL111" s="19" t="s">
        <v>458</v>
      </c>
      <c r="AM111" s="19" t="s">
        <v>458</v>
      </c>
      <c r="AN111" s="19" t="s">
        <v>458</v>
      </c>
      <c r="AO111" s="19" t="s">
        <v>458</v>
      </c>
      <c r="AP111" s="19" t="s">
        <v>458</v>
      </c>
      <c r="AQ111" s="19" t="s">
        <v>458</v>
      </c>
      <c r="AR111" s="19" t="s">
        <v>458</v>
      </c>
      <c r="AS111" s="19" t="s">
        <v>458</v>
      </c>
      <c r="AT111" s="19" t="s">
        <v>458</v>
      </c>
      <c r="AU111" s="19" t="s">
        <v>458</v>
      </c>
      <c r="AV111" s="19" t="s">
        <v>458</v>
      </c>
      <c r="AW111" s="19" t="s">
        <v>458</v>
      </c>
      <c r="AX111" s="19" t="s">
        <v>458</v>
      </c>
      <c r="AY111" s="19" t="s">
        <v>458</v>
      </c>
      <c r="AZ111" s="19" t="s">
        <v>458</v>
      </c>
      <c r="BA111" s="19" t="s">
        <v>458</v>
      </c>
      <c r="BB111" s="19" t="s">
        <v>458</v>
      </c>
      <c r="BC111" s="19" t="s">
        <v>458</v>
      </c>
      <c r="BD111" s="19" t="s">
        <v>458</v>
      </c>
    </row>
    <row r="112" spans="1:56" x14ac:dyDescent="0.2">
      <c r="A112" s="317">
        <v>19</v>
      </c>
      <c r="B112" s="318" t="s">
        <v>361</v>
      </c>
      <c r="C112" s="318" t="s">
        <v>75</v>
      </c>
      <c r="D112" s="5">
        <v>7.9673499999999997</v>
      </c>
      <c r="E112" s="5">
        <v>8.6857100000000003</v>
      </c>
      <c r="F112" s="5">
        <v>9.2081599999999995</v>
      </c>
      <c r="G112" s="5">
        <v>9.8612199999999994</v>
      </c>
      <c r="H112" s="5">
        <v>10.840820000000001</v>
      </c>
      <c r="I112" s="5">
        <v>11.591839999999999</v>
      </c>
      <c r="J112" s="5">
        <v>12.408160000000001</v>
      </c>
      <c r="K112" s="5">
        <v>13.126530000000001</v>
      </c>
      <c r="L112" s="5">
        <v>13.71429</v>
      </c>
      <c r="M112" s="5">
        <v>14.204079999999999</v>
      </c>
      <c r="N112" s="5">
        <v>14.889799999999999</v>
      </c>
      <c r="O112" s="5" t="s">
        <v>458</v>
      </c>
      <c r="P112" s="5" t="s">
        <v>458</v>
      </c>
      <c r="Q112" s="5" t="s">
        <v>458</v>
      </c>
      <c r="R112" s="5" t="s">
        <v>458</v>
      </c>
      <c r="S112" s="5" t="s">
        <v>458</v>
      </c>
      <c r="T112" s="5" t="s">
        <v>458</v>
      </c>
      <c r="U112" s="5" t="s">
        <v>458</v>
      </c>
      <c r="V112" s="5" t="s">
        <v>458</v>
      </c>
      <c r="W112" s="5" t="s">
        <v>458</v>
      </c>
      <c r="X112" s="5" t="s">
        <v>458</v>
      </c>
      <c r="Y112" s="5" t="s">
        <v>458</v>
      </c>
      <c r="Z112" s="5" t="s">
        <v>458</v>
      </c>
      <c r="AA112" s="5" t="s">
        <v>458</v>
      </c>
      <c r="AB112" s="5" t="s">
        <v>458</v>
      </c>
      <c r="AC112" s="5" t="s">
        <v>458</v>
      </c>
      <c r="AD112" s="5" t="s">
        <v>458</v>
      </c>
      <c r="AE112" s="5" t="s">
        <v>458</v>
      </c>
      <c r="AF112" s="5" t="s">
        <v>458</v>
      </c>
      <c r="AG112" s="5" t="s">
        <v>458</v>
      </c>
      <c r="AH112" s="5" t="s">
        <v>458</v>
      </c>
      <c r="AI112" s="5" t="s">
        <v>458</v>
      </c>
      <c r="AJ112" s="5" t="s">
        <v>458</v>
      </c>
      <c r="AK112" s="5" t="s">
        <v>458</v>
      </c>
      <c r="AL112" s="5" t="s">
        <v>458</v>
      </c>
      <c r="AM112" s="5" t="s">
        <v>458</v>
      </c>
      <c r="AN112" s="5" t="s">
        <v>458</v>
      </c>
      <c r="AO112" s="5" t="s">
        <v>458</v>
      </c>
      <c r="AP112" s="5" t="s">
        <v>458</v>
      </c>
      <c r="AQ112" s="5" t="s">
        <v>458</v>
      </c>
      <c r="AR112" s="5" t="s">
        <v>458</v>
      </c>
      <c r="AS112" s="5" t="s">
        <v>458</v>
      </c>
      <c r="AT112" s="5" t="s">
        <v>458</v>
      </c>
      <c r="AU112" s="5" t="s">
        <v>458</v>
      </c>
      <c r="AV112" s="5" t="s">
        <v>458</v>
      </c>
      <c r="AW112" s="5" t="s">
        <v>458</v>
      </c>
      <c r="AX112" s="5" t="s">
        <v>458</v>
      </c>
      <c r="AY112" s="5" t="s">
        <v>458</v>
      </c>
      <c r="AZ112" s="5" t="s">
        <v>458</v>
      </c>
      <c r="BA112" s="5" t="s">
        <v>458</v>
      </c>
      <c r="BB112" s="5" t="s">
        <v>458</v>
      </c>
      <c r="BC112" s="5" t="s">
        <v>458</v>
      </c>
      <c r="BD112" s="5" t="s">
        <v>458</v>
      </c>
    </row>
    <row r="113" spans="1:56" x14ac:dyDescent="0.2">
      <c r="A113" s="317">
        <v>19</v>
      </c>
      <c r="B113" s="318" t="s">
        <v>365</v>
      </c>
      <c r="C113" s="318" t="s">
        <v>76</v>
      </c>
      <c r="D113" s="5">
        <v>7.0530600000000003</v>
      </c>
      <c r="E113" s="5">
        <v>8.3918400000000002</v>
      </c>
      <c r="F113" s="5">
        <v>9.0775500000000005</v>
      </c>
      <c r="G113" s="5">
        <v>9.9591799999999999</v>
      </c>
      <c r="H113" s="5">
        <v>11.03673</v>
      </c>
      <c r="I113" s="5">
        <v>11.820410000000001</v>
      </c>
      <c r="J113" s="5">
        <v>12.76735</v>
      </c>
      <c r="K113" s="5">
        <v>13.583679999999999</v>
      </c>
      <c r="L113" s="5">
        <v>14.26939</v>
      </c>
      <c r="M113" s="5">
        <v>15.118370000000001</v>
      </c>
      <c r="N113" s="5" t="s">
        <v>458</v>
      </c>
      <c r="O113" s="5" t="s">
        <v>458</v>
      </c>
      <c r="P113" s="5" t="s">
        <v>458</v>
      </c>
      <c r="Q113" s="5" t="s">
        <v>458</v>
      </c>
      <c r="R113" s="5" t="s">
        <v>458</v>
      </c>
      <c r="S113" s="5" t="s">
        <v>458</v>
      </c>
      <c r="T113" s="5" t="s">
        <v>458</v>
      </c>
      <c r="U113" s="5" t="s">
        <v>458</v>
      </c>
      <c r="V113" s="5" t="s">
        <v>458</v>
      </c>
      <c r="W113" s="5" t="s">
        <v>458</v>
      </c>
      <c r="X113" s="5" t="s">
        <v>458</v>
      </c>
      <c r="Y113" s="5" t="s">
        <v>458</v>
      </c>
      <c r="Z113" s="5" t="s">
        <v>458</v>
      </c>
      <c r="AA113" s="5" t="s">
        <v>458</v>
      </c>
      <c r="AB113" s="5" t="s">
        <v>458</v>
      </c>
      <c r="AC113" s="5" t="s">
        <v>458</v>
      </c>
      <c r="AD113" s="5" t="s">
        <v>458</v>
      </c>
      <c r="AE113" s="5" t="s">
        <v>458</v>
      </c>
      <c r="AF113" s="5" t="s">
        <v>458</v>
      </c>
      <c r="AG113" s="5" t="s">
        <v>458</v>
      </c>
      <c r="AH113" s="5" t="s">
        <v>458</v>
      </c>
      <c r="AI113" s="5" t="s">
        <v>458</v>
      </c>
      <c r="AJ113" s="5" t="s">
        <v>458</v>
      </c>
      <c r="AK113" s="5" t="s">
        <v>458</v>
      </c>
      <c r="AL113" s="5" t="s">
        <v>458</v>
      </c>
      <c r="AM113" s="5" t="s">
        <v>458</v>
      </c>
      <c r="AN113" s="5" t="s">
        <v>458</v>
      </c>
      <c r="AO113" s="5" t="s">
        <v>458</v>
      </c>
      <c r="AP113" s="5" t="s">
        <v>458</v>
      </c>
      <c r="AQ113" s="5" t="s">
        <v>458</v>
      </c>
      <c r="AR113" s="5" t="s">
        <v>458</v>
      </c>
      <c r="AS113" s="5" t="s">
        <v>458</v>
      </c>
      <c r="AT113" s="5" t="s">
        <v>458</v>
      </c>
      <c r="AU113" s="5" t="s">
        <v>458</v>
      </c>
      <c r="AV113" s="5" t="s">
        <v>458</v>
      </c>
      <c r="AW113" s="5" t="s">
        <v>458</v>
      </c>
      <c r="AX113" s="5" t="s">
        <v>458</v>
      </c>
      <c r="AY113" s="5" t="s">
        <v>458</v>
      </c>
      <c r="AZ113" s="5" t="s">
        <v>458</v>
      </c>
      <c r="BA113" s="5" t="s">
        <v>458</v>
      </c>
      <c r="BB113" s="5" t="s">
        <v>458</v>
      </c>
      <c r="BC113" s="5" t="s">
        <v>458</v>
      </c>
      <c r="BD113" s="5" t="s">
        <v>458</v>
      </c>
    </row>
    <row r="114" spans="1:56" x14ac:dyDescent="0.2">
      <c r="A114" s="317">
        <v>19</v>
      </c>
      <c r="B114" s="318">
        <v>2</v>
      </c>
      <c r="C114" s="318" t="s">
        <v>77</v>
      </c>
      <c r="D114" s="5">
        <v>2.4019599999999999</v>
      </c>
      <c r="E114" s="5">
        <v>3.20262</v>
      </c>
      <c r="F114" s="5">
        <v>4.0032699999999997</v>
      </c>
      <c r="G114" s="5">
        <v>4.5751600000000003</v>
      </c>
      <c r="H114" s="5">
        <v>5.71896</v>
      </c>
      <c r="I114" s="5">
        <v>6.1764700000000001</v>
      </c>
      <c r="J114" s="5">
        <v>6.9771200000000002</v>
      </c>
      <c r="K114" s="5">
        <v>7.8921599999999996</v>
      </c>
      <c r="L114" s="5">
        <v>14.52614</v>
      </c>
      <c r="M114" s="5">
        <v>20.70261</v>
      </c>
      <c r="N114" s="5">
        <v>31.11112</v>
      </c>
      <c r="O114" s="5" t="s">
        <v>458</v>
      </c>
      <c r="P114" s="5" t="s">
        <v>458</v>
      </c>
      <c r="Q114" s="5" t="s">
        <v>458</v>
      </c>
      <c r="R114" s="5" t="s">
        <v>458</v>
      </c>
      <c r="S114" s="5" t="s">
        <v>458</v>
      </c>
      <c r="T114" s="5" t="s">
        <v>458</v>
      </c>
      <c r="U114" s="5" t="s">
        <v>458</v>
      </c>
      <c r="V114" s="5" t="s">
        <v>458</v>
      </c>
      <c r="W114" s="5" t="s">
        <v>458</v>
      </c>
      <c r="X114" s="5" t="s">
        <v>458</v>
      </c>
      <c r="Y114" s="5" t="s">
        <v>458</v>
      </c>
      <c r="Z114" s="5" t="s">
        <v>458</v>
      </c>
      <c r="AA114" s="5" t="s">
        <v>458</v>
      </c>
      <c r="AB114" s="5" t="s">
        <v>458</v>
      </c>
      <c r="AC114" s="5" t="s">
        <v>458</v>
      </c>
      <c r="AD114" s="5" t="s">
        <v>458</v>
      </c>
      <c r="AE114" s="5" t="s">
        <v>458</v>
      </c>
      <c r="AF114" s="5" t="s">
        <v>458</v>
      </c>
      <c r="AG114" s="5" t="s">
        <v>458</v>
      </c>
      <c r="AH114" s="5" t="s">
        <v>458</v>
      </c>
      <c r="AI114" s="5" t="s">
        <v>458</v>
      </c>
      <c r="AJ114" s="5" t="s">
        <v>458</v>
      </c>
      <c r="AK114" s="5" t="s">
        <v>458</v>
      </c>
      <c r="AL114" s="5" t="s">
        <v>458</v>
      </c>
      <c r="AM114" s="5" t="s">
        <v>458</v>
      </c>
      <c r="AN114" s="5" t="s">
        <v>458</v>
      </c>
      <c r="AO114" s="5" t="s">
        <v>458</v>
      </c>
      <c r="AP114" s="5" t="s">
        <v>458</v>
      </c>
      <c r="AQ114" s="5" t="s">
        <v>458</v>
      </c>
      <c r="AR114" s="5" t="s">
        <v>458</v>
      </c>
      <c r="AS114" s="5" t="s">
        <v>458</v>
      </c>
      <c r="AT114" s="5" t="s">
        <v>458</v>
      </c>
      <c r="AU114" s="5" t="s">
        <v>458</v>
      </c>
      <c r="AV114" s="5" t="s">
        <v>458</v>
      </c>
      <c r="AW114" s="5" t="s">
        <v>458</v>
      </c>
      <c r="AX114" s="5" t="s">
        <v>458</v>
      </c>
      <c r="AY114" s="5" t="s">
        <v>458</v>
      </c>
      <c r="AZ114" s="5" t="s">
        <v>458</v>
      </c>
      <c r="BA114" s="5" t="s">
        <v>458</v>
      </c>
      <c r="BB114" s="5" t="s">
        <v>458</v>
      </c>
      <c r="BC114" s="5" t="s">
        <v>458</v>
      </c>
      <c r="BD114" s="5" t="s">
        <v>458</v>
      </c>
    </row>
    <row r="115" spans="1:56" x14ac:dyDescent="0.2">
      <c r="A115" s="317">
        <v>19</v>
      </c>
      <c r="B115" s="318">
        <v>3</v>
      </c>
      <c r="C115" s="318" t="s">
        <v>78</v>
      </c>
      <c r="D115" s="5">
        <v>3.6601400000000002</v>
      </c>
      <c r="E115" s="5">
        <v>6.1764700000000001</v>
      </c>
      <c r="F115" s="5">
        <v>7.8921599999999996</v>
      </c>
      <c r="G115" s="5">
        <v>10.522880000000001</v>
      </c>
      <c r="H115" s="5">
        <v>12.12419</v>
      </c>
      <c r="I115" s="5">
        <v>13.382350000000001</v>
      </c>
      <c r="J115" s="5">
        <v>15.21242</v>
      </c>
      <c r="K115" s="5">
        <v>16.127459999999999</v>
      </c>
      <c r="L115" s="5">
        <v>18.529409999999999</v>
      </c>
      <c r="M115" s="5">
        <v>20.24511</v>
      </c>
      <c r="N115" s="5">
        <v>21.38889</v>
      </c>
      <c r="O115" s="5">
        <v>30.996729999999999</v>
      </c>
      <c r="P115" s="5" t="s">
        <v>458</v>
      </c>
      <c r="Q115" s="5" t="s">
        <v>458</v>
      </c>
      <c r="R115" s="5" t="s">
        <v>458</v>
      </c>
      <c r="S115" s="5" t="s">
        <v>458</v>
      </c>
      <c r="T115" s="5" t="s">
        <v>458</v>
      </c>
      <c r="U115" s="5" t="s">
        <v>458</v>
      </c>
      <c r="V115" s="5" t="s">
        <v>458</v>
      </c>
      <c r="W115" s="5" t="s">
        <v>458</v>
      </c>
      <c r="X115" s="5" t="s">
        <v>458</v>
      </c>
      <c r="Y115" s="5" t="s">
        <v>458</v>
      </c>
      <c r="Z115" s="5" t="s">
        <v>458</v>
      </c>
      <c r="AA115" s="5" t="s">
        <v>458</v>
      </c>
      <c r="AB115" s="5" t="s">
        <v>458</v>
      </c>
      <c r="AC115" s="5" t="s">
        <v>458</v>
      </c>
      <c r="AD115" s="5" t="s">
        <v>458</v>
      </c>
      <c r="AE115" s="5" t="s">
        <v>458</v>
      </c>
      <c r="AF115" s="5" t="s">
        <v>458</v>
      </c>
      <c r="AG115" s="5" t="s">
        <v>458</v>
      </c>
      <c r="AH115" s="5" t="s">
        <v>458</v>
      </c>
      <c r="AI115" s="5" t="s">
        <v>458</v>
      </c>
      <c r="AJ115" s="5" t="s">
        <v>458</v>
      </c>
      <c r="AK115" s="5" t="s">
        <v>458</v>
      </c>
      <c r="AL115" s="5" t="s">
        <v>458</v>
      </c>
      <c r="AM115" s="5" t="s">
        <v>458</v>
      </c>
      <c r="AN115" s="5" t="s">
        <v>458</v>
      </c>
      <c r="AO115" s="5" t="s">
        <v>458</v>
      </c>
      <c r="AP115" s="5" t="s">
        <v>458</v>
      </c>
      <c r="AQ115" s="5" t="s">
        <v>458</v>
      </c>
      <c r="AR115" s="5" t="s">
        <v>458</v>
      </c>
      <c r="AS115" s="5" t="s">
        <v>458</v>
      </c>
      <c r="AT115" s="5" t="s">
        <v>458</v>
      </c>
      <c r="AU115" s="5" t="s">
        <v>458</v>
      </c>
      <c r="AV115" s="5" t="s">
        <v>458</v>
      </c>
      <c r="AW115" s="5" t="s">
        <v>458</v>
      </c>
      <c r="AX115" s="5" t="s">
        <v>458</v>
      </c>
      <c r="AY115" s="5" t="s">
        <v>458</v>
      </c>
      <c r="AZ115" s="5" t="s">
        <v>458</v>
      </c>
      <c r="BA115" s="5" t="s">
        <v>458</v>
      </c>
      <c r="BB115" s="5" t="s">
        <v>458</v>
      </c>
      <c r="BC115" s="5" t="s">
        <v>458</v>
      </c>
      <c r="BD115" s="5" t="s">
        <v>458</v>
      </c>
    </row>
    <row r="116" spans="1:56" x14ac:dyDescent="0.2">
      <c r="A116" s="317">
        <v>19</v>
      </c>
      <c r="B116" s="318">
        <v>4</v>
      </c>
      <c r="C116" s="318" t="s">
        <v>79</v>
      </c>
      <c r="D116" s="5">
        <v>15.098050000000001</v>
      </c>
      <c r="E116" s="5">
        <v>15.55555</v>
      </c>
      <c r="F116" s="5">
        <v>17.156870000000001</v>
      </c>
      <c r="G116" s="5">
        <v>18.529409999999999</v>
      </c>
      <c r="H116" s="5">
        <v>19.901959999999999</v>
      </c>
      <c r="I116" s="5">
        <v>21.38889</v>
      </c>
      <c r="J116" s="5">
        <v>23.905239999999999</v>
      </c>
      <c r="K116" s="5">
        <v>25.735289999999999</v>
      </c>
      <c r="L116" s="5">
        <v>27.22222</v>
      </c>
      <c r="M116" s="5">
        <v>30.996729999999999</v>
      </c>
      <c r="N116" s="5" t="s">
        <v>458</v>
      </c>
      <c r="O116" s="5" t="s">
        <v>458</v>
      </c>
      <c r="P116" s="5" t="s">
        <v>458</v>
      </c>
      <c r="Q116" s="5" t="s">
        <v>458</v>
      </c>
      <c r="R116" s="5" t="s">
        <v>458</v>
      </c>
      <c r="S116" s="5" t="s">
        <v>458</v>
      </c>
      <c r="T116" s="5" t="s">
        <v>458</v>
      </c>
      <c r="U116" s="5" t="s">
        <v>458</v>
      </c>
      <c r="V116" s="5" t="s">
        <v>458</v>
      </c>
      <c r="W116" s="5" t="s">
        <v>458</v>
      </c>
      <c r="X116" s="5" t="s">
        <v>458</v>
      </c>
      <c r="Y116" s="5" t="s">
        <v>458</v>
      </c>
      <c r="Z116" s="5" t="s">
        <v>458</v>
      </c>
      <c r="AA116" s="5" t="s">
        <v>458</v>
      </c>
      <c r="AB116" s="5" t="s">
        <v>458</v>
      </c>
      <c r="AC116" s="5" t="s">
        <v>458</v>
      </c>
      <c r="AD116" s="5" t="s">
        <v>458</v>
      </c>
      <c r="AE116" s="5" t="s">
        <v>458</v>
      </c>
      <c r="AF116" s="5" t="s">
        <v>458</v>
      </c>
      <c r="AG116" s="5" t="s">
        <v>458</v>
      </c>
      <c r="AH116" s="5" t="s">
        <v>458</v>
      </c>
      <c r="AI116" s="5" t="s">
        <v>458</v>
      </c>
      <c r="AJ116" s="5" t="s">
        <v>458</v>
      </c>
      <c r="AK116" s="5" t="s">
        <v>458</v>
      </c>
      <c r="AL116" s="5" t="s">
        <v>458</v>
      </c>
      <c r="AM116" s="5" t="s">
        <v>458</v>
      </c>
      <c r="AN116" s="5" t="s">
        <v>458</v>
      </c>
      <c r="AO116" s="5" t="s">
        <v>458</v>
      </c>
      <c r="AP116" s="5" t="s">
        <v>458</v>
      </c>
      <c r="AQ116" s="5" t="s">
        <v>458</v>
      </c>
      <c r="AR116" s="5" t="s">
        <v>458</v>
      </c>
      <c r="AS116" s="5" t="s">
        <v>458</v>
      </c>
      <c r="AT116" s="5" t="s">
        <v>458</v>
      </c>
      <c r="AU116" s="5" t="s">
        <v>458</v>
      </c>
      <c r="AV116" s="5" t="s">
        <v>458</v>
      </c>
      <c r="AW116" s="5" t="s">
        <v>458</v>
      </c>
      <c r="AX116" s="5" t="s">
        <v>458</v>
      </c>
      <c r="AY116" s="5" t="s">
        <v>458</v>
      </c>
      <c r="AZ116" s="5" t="s">
        <v>458</v>
      </c>
      <c r="BA116" s="5" t="s">
        <v>458</v>
      </c>
      <c r="BB116" s="5" t="s">
        <v>458</v>
      </c>
      <c r="BC116" s="5" t="s">
        <v>458</v>
      </c>
      <c r="BD116" s="5" t="s">
        <v>458</v>
      </c>
    </row>
    <row r="117" spans="1:56" x14ac:dyDescent="0.2">
      <c r="A117" s="317">
        <v>19</v>
      </c>
      <c r="B117" s="318">
        <v>5</v>
      </c>
      <c r="C117" s="318" t="s">
        <v>80</v>
      </c>
      <c r="D117" s="5">
        <v>1.9572400000000001</v>
      </c>
      <c r="E117" s="5">
        <v>3.6842100000000002</v>
      </c>
      <c r="F117" s="5">
        <v>4.7203900000000001</v>
      </c>
      <c r="G117" s="5">
        <v>5.9868399999999999</v>
      </c>
      <c r="H117" s="5">
        <v>6.9078999999999997</v>
      </c>
      <c r="I117" s="5">
        <v>8.5197400000000005</v>
      </c>
      <c r="J117" s="5">
        <v>8.9802700000000009</v>
      </c>
      <c r="K117" s="5">
        <v>10.707229999999999</v>
      </c>
      <c r="L117" s="5">
        <v>12.31908</v>
      </c>
      <c r="M117" s="5">
        <v>13.81579</v>
      </c>
      <c r="N117" s="5">
        <v>15.197369999999999</v>
      </c>
      <c r="O117" s="5">
        <v>16.348680000000002</v>
      </c>
      <c r="P117" s="5">
        <v>17.730270000000001</v>
      </c>
      <c r="Q117" s="5">
        <v>19.342110000000002</v>
      </c>
      <c r="R117" s="5">
        <v>21.06908</v>
      </c>
      <c r="S117" s="5">
        <v>31.085529999999999</v>
      </c>
      <c r="T117" s="5" t="s">
        <v>458</v>
      </c>
      <c r="U117" s="5" t="s">
        <v>458</v>
      </c>
      <c r="V117" s="5" t="s">
        <v>458</v>
      </c>
      <c r="W117" s="5" t="s">
        <v>458</v>
      </c>
      <c r="X117" s="5" t="s">
        <v>458</v>
      </c>
      <c r="Y117" s="5" t="s">
        <v>458</v>
      </c>
      <c r="Z117" s="5" t="s">
        <v>458</v>
      </c>
      <c r="AA117" s="5" t="s">
        <v>458</v>
      </c>
      <c r="AB117" s="5" t="s">
        <v>458</v>
      </c>
      <c r="AC117" s="5" t="s">
        <v>458</v>
      </c>
      <c r="AD117" s="5" t="s">
        <v>458</v>
      </c>
      <c r="AE117" s="5" t="s">
        <v>458</v>
      </c>
      <c r="AF117" s="5" t="s">
        <v>458</v>
      </c>
      <c r="AG117" s="5" t="s">
        <v>458</v>
      </c>
      <c r="AH117" s="5" t="s">
        <v>458</v>
      </c>
      <c r="AI117" s="5" t="s">
        <v>458</v>
      </c>
      <c r="AJ117" s="5" t="s">
        <v>458</v>
      </c>
      <c r="AK117" s="5" t="s">
        <v>458</v>
      </c>
      <c r="AL117" s="5" t="s">
        <v>458</v>
      </c>
      <c r="AM117" s="5" t="s">
        <v>458</v>
      </c>
      <c r="AN117" s="5" t="s">
        <v>458</v>
      </c>
      <c r="AO117" s="5" t="s">
        <v>458</v>
      </c>
      <c r="AP117" s="5" t="s">
        <v>458</v>
      </c>
      <c r="AQ117" s="5" t="s">
        <v>458</v>
      </c>
      <c r="AR117" s="5" t="s">
        <v>458</v>
      </c>
      <c r="AS117" s="5" t="s">
        <v>458</v>
      </c>
      <c r="AT117" s="5" t="s">
        <v>458</v>
      </c>
      <c r="AU117" s="5" t="s">
        <v>458</v>
      </c>
      <c r="AV117" s="5" t="s">
        <v>458</v>
      </c>
      <c r="AW117" s="5" t="s">
        <v>458</v>
      </c>
      <c r="AX117" s="5" t="s">
        <v>458</v>
      </c>
      <c r="AY117" s="5" t="s">
        <v>458</v>
      </c>
      <c r="AZ117" s="5" t="s">
        <v>458</v>
      </c>
      <c r="BA117" s="5" t="s">
        <v>458</v>
      </c>
      <c r="BB117" s="5" t="s">
        <v>458</v>
      </c>
      <c r="BC117" s="5" t="s">
        <v>458</v>
      </c>
      <c r="BD117" s="5" t="s">
        <v>458</v>
      </c>
    </row>
    <row r="118" spans="1:56" x14ac:dyDescent="0.2">
      <c r="A118" s="317">
        <v>19</v>
      </c>
      <c r="B118" s="318">
        <v>6</v>
      </c>
      <c r="C118" s="318" t="s">
        <v>81</v>
      </c>
      <c r="D118" s="5">
        <v>3.4539499999999999</v>
      </c>
      <c r="E118" s="5">
        <v>6.1019800000000002</v>
      </c>
      <c r="F118" s="5">
        <v>7.9440799999999996</v>
      </c>
      <c r="G118" s="5">
        <v>10.59211</v>
      </c>
      <c r="H118" s="5">
        <v>12.54935</v>
      </c>
      <c r="I118" s="5">
        <v>15.082240000000001</v>
      </c>
      <c r="J118" s="5">
        <v>17.039480000000001</v>
      </c>
      <c r="K118" s="5">
        <v>18.421050000000001</v>
      </c>
      <c r="L118" s="5">
        <v>20.37829</v>
      </c>
      <c r="M118" s="5">
        <v>21.414480000000001</v>
      </c>
      <c r="N118" s="5">
        <v>23.37172</v>
      </c>
      <c r="O118" s="5">
        <v>25.789470000000001</v>
      </c>
      <c r="P118" s="5">
        <v>27.63158</v>
      </c>
      <c r="Q118" s="5">
        <v>29.588819999999998</v>
      </c>
      <c r="R118" s="5">
        <v>31.200659999999999</v>
      </c>
      <c r="S118" s="5" t="s">
        <v>458</v>
      </c>
      <c r="T118" s="5" t="s">
        <v>458</v>
      </c>
      <c r="U118" s="5" t="s">
        <v>458</v>
      </c>
      <c r="V118" s="5" t="s">
        <v>458</v>
      </c>
      <c r="W118" s="5" t="s">
        <v>458</v>
      </c>
      <c r="X118" s="5" t="s">
        <v>458</v>
      </c>
      <c r="Y118" s="5" t="s">
        <v>458</v>
      </c>
      <c r="Z118" s="5" t="s">
        <v>458</v>
      </c>
      <c r="AA118" s="5" t="s">
        <v>458</v>
      </c>
      <c r="AB118" s="5" t="s">
        <v>458</v>
      </c>
      <c r="AC118" s="5" t="s">
        <v>458</v>
      </c>
      <c r="AD118" s="5" t="s">
        <v>458</v>
      </c>
      <c r="AE118" s="5" t="s">
        <v>458</v>
      </c>
      <c r="AF118" s="5" t="s">
        <v>458</v>
      </c>
      <c r="AG118" s="5" t="s">
        <v>458</v>
      </c>
      <c r="AH118" s="5" t="s">
        <v>458</v>
      </c>
      <c r="AI118" s="5" t="s">
        <v>458</v>
      </c>
      <c r="AJ118" s="5" t="s">
        <v>458</v>
      </c>
      <c r="AK118" s="5" t="s">
        <v>458</v>
      </c>
      <c r="AL118" s="5" t="s">
        <v>458</v>
      </c>
      <c r="AM118" s="5" t="s">
        <v>458</v>
      </c>
      <c r="AN118" s="5" t="s">
        <v>458</v>
      </c>
      <c r="AO118" s="5" t="s">
        <v>458</v>
      </c>
      <c r="AP118" s="5" t="s">
        <v>458</v>
      </c>
      <c r="AQ118" s="5" t="s">
        <v>458</v>
      </c>
      <c r="AR118" s="5" t="s">
        <v>458</v>
      </c>
      <c r="AS118" s="5" t="s">
        <v>458</v>
      </c>
      <c r="AT118" s="5" t="s">
        <v>458</v>
      </c>
      <c r="AU118" s="5" t="s">
        <v>458</v>
      </c>
      <c r="AV118" s="5" t="s">
        <v>458</v>
      </c>
      <c r="AW118" s="5" t="s">
        <v>458</v>
      </c>
      <c r="AX118" s="5" t="s">
        <v>458</v>
      </c>
      <c r="AY118" s="5" t="s">
        <v>458</v>
      </c>
      <c r="AZ118" s="5" t="s">
        <v>458</v>
      </c>
      <c r="BA118" s="5" t="s">
        <v>458</v>
      </c>
      <c r="BB118" s="5" t="s">
        <v>458</v>
      </c>
      <c r="BC118" s="5" t="s">
        <v>458</v>
      </c>
      <c r="BD118" s="5" t="s">
        <v>458</v>
      </c>
    </row>
    <row r="119" spans="1:56" s="19" customFormat="1" x14ac:dyDescent="0.2">
      <c r="A119" s="319">
        <v>19</v>
      </c>
      <c r="B119" s="320">
        <v>7</v>
      </c>
      <c r="C119" s="320" t="s">
        <v>82</v>
      </c>
      <c r="D119" s="19">
        <v>8.2894699999999997</v>
      </c>
      <c r="E119" s="19">
        <v>14.96711</v>
      </c>
      <c r="F119" s="19">
        <v>18.99671</v>
      </c>
      <c r="G119" s="19">
        <v>21.644729999999999</v>
      </c>
      <c r="H119" s="19">
        <v>24.523029999999999</v>
      </c>
      <c r="I119" s="19">
        <v>26.134869999999999</v>
      </c>
      <c r="J119" s="19">
        <v>28.207239999999999</v>
      </c>
      <c r="K119" s="19">
        <v>31.546060000000001</v>
      </c>
      <c r="L119" s="19" t="s">
        <v>458</v>
      </c>
      <c r="M119" s="19" t="s">
        <v>458</v>
      </c>
      <c r="N119" s="19" t="s">
        <v>458</v>
      </c>
      <c r="O119" s="19" t="s">
        <v>458</v>
      </c>
      <c r="P119" s="19" t="s">
        <v>458</v>
      </c>
      <c r="Q119" s="19" t="s">
        <v>458</v>
      </c>
      <c r="R119" s="19" t="s">
        <v>458</v>
      </c>
      <c r="S119" s="19" t="s">
        <v>458</v>
      </c>
      <c r="T119" s="19" t="s">
        <v>458</v>
      </c>
      <c r="U119" s="19" t="s">
        <v>458</v>
      </c>
      <c r="V119" s="19" t="s">
        <v>458</v>
      </c>
      <c r="W119" s="19" t="s">
        <v>458</v>
      </c>
      <c r="X119" s="19" t="s">
        <v>458</v>
      </c>
      <c r="Y119" s="19" t="s">
        <v>458</v>
      </c>
      <c r="Z119" s="19" t="s">
        <v>458</v>
      </c>
      <c r="AA119" s="19" t="s">
        <v>458</v>
      </c>
      <c r="AB119" s="19" t="s">
        <v>458</v>
      </c>
      <c r="AC119" s="19" t="s">
        <v>458</v>
      </c>
      <c r="AD119" s="19" t="s">
        <v>458</v>
      </c>
      <c r="AE119" s="19" t="s">
        <v>458</v>
      </c>
      <c r="AF119" s="19" t="s">
        <v>458</v>
      </c>
      <c r="AG119" s="19" t="s">
        <v>458</v>
      </c>
      <c r="AH119" s="19" t="s">
        <v>458</v>
      </c>
      <c r="AI119" s="19" t="s">
        <v>458</v>
      </c>
      <c r="AJ119" s="19" t="s">
        <v>458</v>
      </c>
      <c r="AK119" s="19" t="s">
        <v>458</v>
      </c>
      <c r="AL119" s="19" t="s">
        <v>458</v>
      </c>
      <c r="AM119" s="19" t="s">
        <v>458</v>
      </c>
      <c r="AN119" s="19" t="s">
        <v>458</v>
      </c>
      <c r="AO119" s="19" t="s">
        <v>458</v>
      </c>
      <c r="AP119" s="19" t="s">
        <v>458</v>
      </c>
      <c r="AQ119" s="19" t="s">
        <v>458</v>
      </c>
      <c r="AR119" s="19" t="s">
        <v>458</v>
      </c>
      <c r="AS119" s="19" t="s">
        <v>458</v>
      </c>
      <c r="AT119" s="19" t="s">
        <v>458</v>
      </c>
      <c r="AU119" s="19" t="s">
        <v>458</v>
      </c>
      <c r="AV119" s="19" t="s">
        <v>458</v>
      </c>
      <c r="AW119" s="19" t="s">
        <v>458</v>
      </c>
      <c r="AX119" s="19" t="s">
        <v>458</v>
      </c>
      <c r="AY119" s="19" t="s">
        <v>458</v>
      </c>
      <c r="AZ119" s="19" t="s">
        <v>458</v>
      </c>
      <c r="BA119" s="19" t="s">
        <v>458</v>
      </c>
      <c r="BB119" s="19" t="s">
        <v>458</v>
      </c>
      <c r="BC119" s="19" t="s">
        <v>458</v>
      </c>
      <c r="BD119" s="19" t="s">
        <v>458</v>
      </c>
    </row>
    <row r="120" spans="1:56" x14ac:dyDescent="0.2">
      <c r="A120" s="317">
        <v>20</v>
      </c>
      <c r="B120" s="318">
        <v>5</v>
      </c>
      <c r="C120" s="318" t="s">
        <v>62</v>
      </c>
      <c r="D120" s="5">
        <v>15</v>
      </c>
      <c r="E120" s="5">
        <v>22</v>
      </c>
      <c r="F120" s="5">
        <v>36</v>
      </c>
      <c r="G120" s="5" t="s">
        <v>458</v>
      </c>
      <c r="H120" s="5" t="s">
        <v>458</v>
      </c>
      <c r="I120" s="5" t="s">
        <v>458</v>
      </c>
      <c r="J120" s="5" t="s">
        <v>458</v>
      </c>
      <c r="K120" s="5" t="s">
        <v>458</v>
      </c>
      <c r="L120" s="5" t="s">
        <v>458</v>
      </c>
      <c r="M120" s="5" t="s">
        <v>458</v>
      </c>
      <c r="N120" s="5" t="s">
        <v>458</v>
      </c>
      <c r="O120" s="5" t="s">
        <v>458</v>
      </c>
      <c r="P120" s="5" t="s">
        <v>458</v>
      </c>
      <c r="Q120" s="5" t="s">
        <v>458</v>
      </c>
      <c r="R120" s="5" t="s">
        <v>458</v>
      </c>
      <c r="S120" s="5" t="s">
        <v>458</v>
      </c>
      <c r="T120" s="5" t="s">
        <v>458</v>
      </c>
      <c r="U120" s="5" t="s">
        <v>458</v>
      </c>
      <c r="V120" s="5" t="s">
        <v>458</v>
      </c>
      <c r="W120" s="5" t="s">
        <v>458</v>
      </c>
      <c r="X120" s="5" t="s">
        <v>458</v>
      </c>
      <c r="Y120" s="5" t="s">
        <v>458</v>
      </c>
      <c r="Z120" s="5" t="s">
        <v>458</v>
      </c>
      <c r="AA120" s="5" t="s">
        <v>458</v>
      </c>
      <c r="AB120" s="5" t="s">
        <v>458</v>
      </c>
      <c r="AC120" s="5" t="s">
        <v>458</v>
      </c>
      <c r="AD120" s="5" t="s">
        <v>458</v>
      </c>
      <c r="AE120" s="5" t="s">
        <v>458</v>
      </c>
      <c r="AF120" s="5" t="s">
        <v>458</v>
      </c>
      <c r="AG120" s="5" t="s">
        <v>458</v>
      </c>
      <c r="AH120" s="5" t="s">
        <v>458</v>
      </c>
      <c r="AI120" s="5" t="s">
        <v>458</v>
      </c>
      <c r="AJ120" s="5" t="s">
        <v>458</v>
      </c>
      <c r="AK120" s="5" t="s">
        <v>458</v>
      </c>
      <c r="AL120" s="5" t="s">
        <v>458</v>
      </c>
      <c r="AM120" s="5" t="s">
        <v>458</v>
      </c>
      <c r="AN120" s="5" t="s">
        <v>458</v>
      </c>
      <c r="AO120" s="5" t="s">
        <v>458</v>
      </c>
      <c r="AP120" s="5" t="s">
        <v>458</v>
      </c>
      <c r="AQ120" s="5" t="s">
        <v>458</v>
      </c>
      <c r="AR120" s="5" t="s">
        <v>458</v>
      </c>
      <c r="AS120" s="5" t="s">
        <v>458</v>
      </c>
      <c r="AT120" s="5" t="s">
        <v>458</v>
      </c>
      <c r="AU120" s="5" t="s">
        <v>458</v>
      </c>
      <c r="AV120" s="5" t="s">
        <v>458</v>
      </c>
      <c r="AW120" s="5" t="s">
        <v>458</v>
      </c>
      <c r="AX120" s="5" t="s">
        <v>458</v>
      </c>
      <c r="AY120" s="5" t="s">
        <v>458</v>
      </c>
      <c r="AZ120" s="5" t="s">
        <v>458</v>
      </c>
      <c r="BA120" s="5" t="s">
        <v>458</v>
      </c>
      <c r="BB120" s="5" t="s">
        <v>458</v>
      </c>
      <c r="BC120" s="5" t="s">
        <v>458</v>
      </c>
      <c r="BD120" s="5" t="s">
        <v>458</v>
      </c>
    </row>
    <row r="121" spans="1:56" x14ac:dyDescent="0.2">
      <c r="A121" s="317">
        <v>20</v>
      </c>
      <c r="B121" s="318">
        <v>6</v>
      </c>
      <c r="C121" s="318" t="s">
        <v>83</v>
      </c>
      <c r="D121" s="5">
        <v>15</v>
      </c>
      <c r="E121" s="5">
        <v>22</v>
      </c>
      <c r="F121" s="5">
        <v>36</v>
      </c>
      <c r="G121" s="5" t="s">
        <v>458</v>
      </c>
      <c r="H121" s="5" t="s">
        <v>458</v>
      </c>
      <c r="I121" s="5" t="s">
        <v>458</v>
      </c>
      <c r="J121" s="5" t="s">
        <v>458</v>
      </c>
      <c r="K121" s="5" t="s">
        <v>458</v>
      </c>
      <c r="L121" s="5" t="s">
        <v>458</v>
      </c>
      <c r="M121" s="5" t="s">
        <v>458</v>
      </c>
      <c r="N121" s="5" t="s">
        <v>458</v>
      </c>
      <c r="O121" s="5" t="s">
        <v>458</v>
      </c>
      <c r="P121" s="5" t="s">
        <v>458</v>
      </c>
      <c r="Q121" s="5" t="s">
        <v>458</v>
      </c>
      <c r="R121" s="5" t="s">
        <v>458</v>
      </c>
      <c r="S121" s="5" t="s">
        <v>458</v>
      </c>
      <c r="T121" s="5" t="s">
        <v>458</v>
      </c>
      <c r="U121" s="5" t="s">
        <v>458</v>
      </c>
      <c r="V121" s="5" t="s">
        <v>458</v>
      </c>
      <c r="W121" s="5" t="s">
        <v>458</v>
      </c>
      <c r="X121" s="5" t="s">
        <v>458</v>
      </c>
      <c r="Y121" s="5" t="s">
        <v>458</v>
      </c>
      <c r="Z121" s="5" t="s">
        <v>458</v>
      </c>
      <c r="AA121" s="5" t="s">
        <v>458</v>
      </c>
      <c r="AB121" s="5" t="s">
        <v>458</v>
      </c>
      <c r="AC121" s="5" t="s">
        <v>458</v>
      </c>
      <c r="AD121" s="5" t="s">
        <v>458</v>
      </c>
      <c r="AE121" s="5" t="s">
        <v>458</v>
      </c>
      <c r="AF121" s="5" t="s">
        <v>458</v>
      </c>
      <c r="AG121" s="5" t="s">
        <v>458</v>
      </c>
      <c r="AH121" s="5" t="s">
        <v>458</v>
      </c>
      <c r="AI121" s="5" t="s">
        <v>458</v>
      </c>
      <c r="AJ121" s="5" t="s">
        <v>458</v>
      </c>
      <c r="AK121" s="5" t="s">
        <v>458</v>
      </c>
      <c r="AL121" s="5" t="s">
        <v>458</v>
      </c>
      <c r="AM121" s="5" t="s">
        <v>458</v>
      </c>
      <c r="AN121" s="5" t="s">
        <v>458</v>
      </c>
      <c r="AO121" s="5" t="s">
        <v>458</v>
      </c>
      <c r="AP121" s="5" t="s">
        <v>458</v>
      </c>
      <c r="AQ121" s="5" t="s">
        <v>458</v>
      </c>
      <c r="AR121" s="5" t="s">
        <v>458</v>
      </c>
      <c r="AS121" s="5" t="s">
        <v>458</v>
      </c>
      <c r="AT121" s="5" t="s">
        <v>458</v>
      </c>
      <c r="AU121" s="5" t="s">
        <v>458</v>
      </c>
      <c r="AV121" s="5" t="s">
        <v>458</v>
      </c>
      <c r="AW121" s="5" t="s">
        <v>458</v>
      </c>
      <c r="AX121" s="5" t="s">
        <v>458</v>
      </c>
      <c r="AY121" s="5" t="s">
        <v>458</v>
      </c>
      <c r="AZ121" s="5" t="s">
        <v>458</v>
      </c>
      <c r="BA121" s="5" t="s">
        <v>458</v>
      </c>
      <c r="BB121" s="5" t="s">
        <v>458</v>
      </c>
      <c r="BC121" s="5" t="s">
        <v>458</v>
      </c>
      <c r="BD121" s="5" t="s">
        <v>458</v>
      </c>
    </row>
    <row r="122" spans="1:56" x14ac:dyDescent="0.2">
      <c r="A122" s="317">
        <v>20</v>
      </c>
      <c r="B122" s="318">
        <v>7</v>
      </c>
      <c r="C122" s="318" t="s">
        <v>84</v>
      </c>
      <c r="D122" s="5">
        <v>15</v>
      </c>
      <c r="E122" s="5">
        <v>22</v>
      </c>
      <c r="F122" s="5">
        <v>36</v>
      </c>
      <c r="G122" s="5">
        <v>42</v>
      </c>
      <c r="H122" s="5">
        <v>67</v>
      </c>
      <c r="I122" s="5" t="s">
        <v>458</v>
      </c>
      <c r="J122" s="5" t="s">
        <v>458</v>
      </c>
      <c r="K122" s="5" t="s">
        <v>458</v>
      </c>
      <c r="L122" s="5" t="s">
        <v>458</v>
      </c>
      <c r="M122" s="5" t="s">
        <v>458</v>
      </c>
      <c r="N122" s="5" t="s">
        <v>458</v>
      </c>
      <c r="O122" s="5" t="s">
        <v>458</v>
      </c>
      <c r="P122" s="5" t="s">
        <v>458</v>
      </c>
      <c r="Q122" s="5" t="s">
        <v>458</v>
      </c>
      <c r="R122" s="5" t="s">
        <v>458</v>
      </c>
      <c r="S122" s="5" t="s">
        <v>458</v>
      </c>
      <c r="T122" s="5" t="s">
        <v>458</v>
      </c>
      <c r="U122" s="5" t="s">
        <v>458</v>
      </c>
      <c r="V122" s="5" t="s">
        <v>458</v>
      </c>
      <c r="W122" s="5" t="s">
        <v>458</v>
      </c>
      <c r="X122" s="5" t="s">
        <v>458</v>
      </c>
      <c r="Y122" s="5" t="s">
        <v>458</v>
      </c>
      <c r="Z122" s="5" t="s">
        <v>458</v>
      </c>
      <c r="AA122" s="5" t="s">
        <v>458</v>
      </c>
      <c r="AB122" s="5" t="s">
        <v>458</v>
      </c>
      <c r="AC122" s="5" t="s">
        <v>458</v>
      </c>
      <c r="AD122" s="5" t="s">
        <v>458</v>
      </c>
      <c r="AE122" s="5" t="s">
        <v>458</v>
      </c>
      <c r="AF122" s="5" t="s">
        <v>458</v>
      </c>
      <c r="AG122" s="5" t="s">
        <v>458</v>
      </c>
      <c r="AH122" s="5" t="s">
        <v>458</v>
      </c>
      <c r="AI122" s="5" t="s">
        <v>458</v>
      </c>
      <c r="AJ122" s="5" t="s">
        <v>458</v>
      </c>
      <c r="AK122" s="5" t="s">
        <v>458</v>
      </c>
      <c r="AL122" s="5" t="s">
        <v>458</v>
      </c>
      <c r="AM122" s="5" t="s">
        <v>458</v>
      </c>
      <c r="AN122" s="5" t="s">
        <v>458</v>
      </c>
      <c r="AO122" s="5" t="s">
        <v>458</v>
      </c>
      <c r="AP122" s="5" t="s">
        <v>458</v>
      </c>
      <c r="AQ122" s="5" t="s">
        <v>458</v>
      </c>
      <c r="AR122" s="5" t="s">
        <v>458</v>
      </c>
      <c r="AS122" s="5" t="s">
        <v>458</v>
      </c>
      <c r="AT122" s="5" t="s">
        <v>458</v>
      </c>
      <c r="AU122" s="5" t="s">
        <v>458</v>
      </c>
      <c r="AV122" s="5" t="s">
        <v>458</v>
      </c>
      <c r="AW122" s="5" t="s">
        <v>458</v>
      </c>
      <c r="AX122" s="5" t="s">
        <v>458</v>
      </c>
      <c r="AY122" s="5" t="s">
        <v>458</v>
      </c>
      <c r="AZ122" s="5" t="s">
        <v>458</v>
      </c>
      <c r="BA122" s="5" t="s">
        <v>458</v>
      </c>
      <c r="BB122" s="5" t="s">
        <v>458</v>
      </c>
      <c r="BC122" s="5" t="s">
        <v>458</v>
      </c>
      <c r="BD122" s="5" t="s">
        <v>458</v>
      </c>
    </row>
    <row r="123" spans="1:56" x14ac:dyDescent="0.2">
      <c r="A123" s="317">
        <v>20</v>
      </c>
      <c r="B123" s="318">
        <v>8</v>
      </c>
      <c r="C123" s="318" t="s">
        <v>85</v>
      </c>
      <c r="D123" s="5">
        <v>15</v>
      </c>
      <c r="E123" s="5">
        <v>22</v>
      </c>
      <c r="F123" s="5">
        <v>36</v>
      </c>
      <c r="G123" s="5">
        <v>42</v>
      </c>
      <c r="H123" s="5">
        <v>67</v>
      </c>
      <c r="I123" s="5" t="s">
        <v>458</v>
      </c>
      <c r="J123" s="5" t="s">
        <v>458</v>
      </c>
      <c r="K123" s="5" t="s">
        <v>458</v>
      </c>
      <c r="L123" s="5" t="s">
        <v>458</v>
      </c>
      <c r="M123" s="5" t="s">
        <v>458</v>
      </c>
      <c r="N123" s="5" t="s">
        <v>458</v>
      </c>
      <c r="O123" s="5" t="s">
        <v>458</v>
      </c>
      <c r="P123" s="5" t="s">
        <v>458</v>
      </c>
      <c r="Q123" s="5" t="s">
        <v>458</v>
      </c>
      <c r="R123" s="5" t="s">
        <v>458</v>
      </c>
      <c r="S123" s="5" t="s">
        <v>458</v>
      </c>
      <c r="T123" s="5" t="s">
        <v>458</v>
      </c>
      <c r="U123" s="5" t="s">
        <v>458</v>
      </c>
      <c r="V123" s="5" t="s">
        <v>458</v>
      </c>
      <c r="W123" s="5" t="s">
        <v>458</v>
      </c>
      <c r="X123" s="5" t="s">
        <v>458</v>
      </c>
      <c r="Y123" s="5" t="s">
        <v>458</v>
      </c>
      <c r="Z123" s="5" t="s">
        <v>458</v>
      </c>
      <c r="AA123" s="5" t="s">
        <v>458</v>
      </c>
      <c r="AB123" s="5" t="s">
        <v>458</v>
      </c>
      <c r="AC123" s="5" t="s">
        <v>458</v>
      </c>
      <c r="AD123" s="5" t="s">
        <v>458</v>
      </c>
      <c r="AE123" s="5" t="s">
        <v>458</v>
      </c>
      <c r="AF123" s="5" t="s">
        <v>458</v>
      </c>
      <c r="AG123" s="5" t="s">
        <v>458</v>
      </c>
      <c r="AH123" s="5" t="s">
        <v>458</v>
      </c>
      <c r="AI123" s="5" t="s">
        <v>458</v>
      </c>
      <c r="AJ123" s="5" t="s">
        <v>458</v>
      </c>
      <c r="AK123" s="5" t="s">
        <v>458</v>
      </c>
      <c r="AL123" s="5" t="s">
        <v>458</v>
      </c>
      <c r="AM123" s="5" t="s">
        <v>458</v>
      </c>
      <c r="AN123" s="5" t="s">
        <v>458</v>
      </c>
      <c r="AO123" s="5" t="s">
        <v>458</v>
      </c>
      <c r="AP123" s="5" t="s">
        <v>458</v>
      </c>
      <c r="AQ123" s="5" t="s">
        <v>458</v>
      </c>
      <c r="AR123" s="5" t="s">
        <v>458</v>
      </c>
      <c r="AS123" s="5" t="s">
        <v>458</v>
      </c>
      <c r="AT123" s="5" t="s">
        <v>458</v>
      </c>
      <c r="AU123" s="5" t="s">
        <v>458</v>
      </c>
      <c r="AV123" s="5" t="s">
        <v>458</v>
      </c>
      <c r="AW123" s="5" t="s">
        <v>458</v>
      </c>
      <c r="AX123" s="5" t="s">
        <v>458</v>
      </c>
      <c r="AY123" s="5" t="s">
        <v>458</v>
      </c>
      <c r="AZ123" s="5" t="s">
        <v>458</v>
      </c>
      <c r="BA123" s="5" t="s">
        <v>458</v>
      </c>
      <c r="BB123" s="5" t="s">
        <v>458</v>
      </c>
      <c r="BC123" s="5" t="s">
        <v>458</v>
      </c>
      <c r="BD123" s="5" t="s">
        <v>458</v>
      </c>
    </row>
    <row r="124" spans="1:56" x14ac:dyDescent="0.2">
      <c r="A124" s="317">
        <v>20</v>
      </c>
      <c r="B124" s="318">
        <v>9</v>
      </c>
      <c r="C124" s="318" t="s">
        <v>62</v>
      </c>
      <c r="D124" s="5">
        <v>90</v>
      </c>
      <c r="E124" s="5">
        <v>180</v>
      </c>
      <c r="F124" s="5" t="s">
        <v>458</v>
      </c>
      <c r="G124" s="5" t="s">
        <v>458</v>
      </c>
      <c r="H124" s="5" t="s">
        <v>458</v>
      </c>
      <c r="I124" s="5" t="s">
        <v>458</v>
      </c>
      <c r="J124" s="5" t="s">
        <v>458</v>
      </c>
      <c r="K124" s="5" t="s">
        <v>458</v>
      </c>
      <c r="L124" s="5" t="s">
        <v>458</v>
      </c>
      <c r="M124" s="5" t="s">
        <v>458</v>
      </c>
      <c r="N124" s="5" t="s">
        <v>458</v>
      </c>
      <c r="O124" s="5" t="s">
        <v>458</v>
      </c>
      <c r="P124" s="5" t="s">
        <v>458</v>
      </c>
      <c r="Q124" s="5" t="s">
        <v>458</v>
      </c>
      <c r="R124" s="5" t="s">
        <v>458</v>
      </c>
      <c r="S124" s="5" t="s">
        <v>458</v>
      </c>
      <c r="T124" s="5" t="s">
        <v>458</v>
      </c>
      <c r="U124" s="5" t="s">
        <v>458</v>
      </c>
      <c r="V124" s="5" t="s">
        <v>458</v>
      </c>
      <c r="W124" s="5" t="s">
        <v>458</v>
      </c>
      <c r="X124" s="5" t="s">
        <v>458</v>
      </c>
      <c r="Y124" s="5" t="s">
        <v>458</v>
      </c>
      <c r="Z124" s="5" t="s">
        <v>458</v>
      </c>
      <c r="AA124" s="5" t="s">
        <v>458</v>
      </c>
      <c r="AB124" s="5" t="s">
        <v>458</v>
      </c>
      <c r="AC124" s="5" t="s">
        <v>458</v>
      </c>
      <c r="AD124" s="5" t="s">
        <v>458</v>
      </c>
      <c r="AE124" s="5" t="s">
        <v>458</v>
      </c>
      <c r="AF124" s="5" t="s">
        <v>458</v>
      </c>
      <c r="AG124" s="5" t="s">
        <v>458</v>
      </c>
      <c r="AH124" s="5" t="s">
        <v>458</v>
      </c>
      <c r="AI124" s="5" t="s">
        <v>458</v>
      </c>
      <c r="AJ124" s="5" t="s">
        <v>458</v>
      </c>
      <c r="AK124" s="5" t="s">
        <v>458</v>
      </c>
      <c r="AL124" s="5" t="s">
        <v>458</v>
      </c>
      <c r="AM124" s="5" t="s">
        <v>458</v>
      </c>
      <c r="AN124" s="5" t="s">
        <v>458</v>
      </c>
      <c r="AO124" s="5" t="s">
        <v>458</v>
      </c>
      <c r="AP124" s="5" t="s">
        <v>458</v>
      </c>
      <c r="AQ124" s="5" t="s">
        <v>458</v>
      </c>
      <c r="AR124" s="5" t="s">
        <v>458</v>
      </c>
      <c r="AS124" s="5" t="s">
        <v>458</v>
      </c>
      <c r="AT124" s="5" t="s">
        <v>458</v>
      </c>
      <c r="AU124" s="5" t="s">
        <v>458</v>
      </c>
      <c r="AV124" s="5" t="s">
        <v>458</v>
      </c>
      <c r="AW124" s="5" t="s">
        <v>458</v>
      </c>
      <c r="AX124" s="5" t="s">
        <v>458</v>
      </c>
      <c r="AY124" s="5" t="s">
        <v>458</v>
      </c>
      <c r="AZ124" s="5" t="s">
        <v>458</v>
      </c>
      <c r="BA124" s="5" t="s">
        <v>458</v>
      </c>
      <c r="BB124" s="5" t="s">
        <v>458</v>
      </c>
      <c r="BC124" s="5" t="s">
        <v>458</v>
      </c>
      <c r="BD124" s="5" t="s">
        <v>458</v>
      </c>
    </row>
    <row r="125" spans="1:56" s="19" customFormat="1" x14ac:dyDescent="0.2">
      <c r="A125" s="319">
        <v>20</v>
      </c>
      <c r="B125" s="320">
        <v>10</v>
      </c>
      <c r="C125" s="320" t="s">
        <v>85</v>
      </c>
      <c r="D125" s="19">
        <v>90</v>
      </c>
      <c r="E125" s="19">
        <v>180</v>
      </c>
      <c r="F125" s="19" t="s">
        <v>458</v>
      </c>
      <c r="G125" s="19" t="s">
        <v>458</v>
      </c>
      <c r="H125" s="19" t="s">
        <v>458</v>
      </c>
      <c r="I125" s="19" t="s">
        <v>458</v>
      </c>
      <c r="J125" s="19" t="s">
        <v>458</v>
      </c>
      <c r="K125" s="19" t="s">
        <v>458</v>
      </c>
      <c r="L125" s="19" t="s">
        <v>458</v>
      </c>
      <c r="M125" s="19" t="s">
        <v>458</v>
      </c>
      <c r="N125" s="19" t="s">
        <v>458</v>
      </c>
      <c r="O125" s="19" t="s">
        <v>458</v>
      </c>
      <c r="P125" s="19" t="s">
        <v>458</v>
      </c>
      <c r="Q125" s="19" t="s">
        <v>458</v>
      </c>
      <c r="R125" s="19" t="s">
        <v>458</v>
      </c>
      <c r="S125" s="19" t="s">
        <v>458</v>
      </c>
      <c r="T125" s="19" t="s">
        <v>458</v>
      </c>
      <c r="U125" s="19" t="s">
        <v>458</v>
      </c>
      <c r="V125" s="19" t="s">
        <v>458</v>
      </c>
      <c r="W125" s="19" t="s">
        <v>458</v>
      </c>
      <c r="X125" s="19" t="s">
        <v>458</v>
      </c>
      <c r="Y125" s="19" t="s">
        <v>458</v>
      </c>
      <c r="Z125" s="19" t="s">
        <v>458</v>
      </c>
      <c r="AA125" s="19" t="s">
        <v>458</v>
      </c>
      <c r="AB125" s="19" t="s">
        <v>458</v>
      </c>
      <c r="AC125" s="19" t="s">
        <v>458</v>
      </c>
      <c r="AD125" s="19" t="s">
        <v>458</v>
      </c>
      <c r="AE125" s="19" t="s">
        <v>458</v>
      </c>
      <c r="AF125" s="19" t="s">
        <v>458</v>
      </c>
      <c r="AG125" s="19" t="s">
        <v>458</v>
      </c>
      <c r="AH125" s="19" t="s">
        <v>458</v>
      </c>
      <c r="AI125" s="19" t="s">
        <v>458</v>
      </c>
      <c r="AJ125" s="19" t="s">
        <v>458</v>
      </c>
      <c r="AK125" s="19" t="s">
        <v>458</v>
      </c>
      <c r="AL125" s="19" t="s">
        <v>458</v>
      </c>
      <c r="AM125" s="19" t="s">
        <v>458</v>
      </c>
      <c r="AN125" s="19" t="s">
        <v>458</v>
      </c>
      <c r="AO125" s="19" t="s">
        <v>458</v>
      </c>
      <c r="AP125" s="19" t="s">
        <v>458</v>
      </c>
      <c r="AQ125" s="19" t="s">
        <v>458</v>
      </c>
      <c r="AR125" s="19" t="s">
        <v>458</v>
      </c>
      <c r="AS125" s="19" t="s">
        <v>458</v>
      </c>
      <c r="AT125" s="19" t="s">
        <v>458</v>
      </c>
      <c r="AU125" s="19" t="s">
        <v>458</v>
      </c>
      <c r="AV125" s="19" t="s">
        <v>458</v>
      </c>
      <c r="AW125" s="19" t="s">
        <v>458</v>
      </c>
      <c r="AX125" s="19" t="s">
        <v>458</v>
      </c>
      <c r="AY125" s="19" t="s">
        <v>458</v>
      </c>
      <c r="AZ125" s="19" t="s">
        <v>458</v>
      </c>
      <c r="BA125" s="19" t="s">
        <v>458</v>
      </c>
      <c r="BB125" s="19" t="s">
        <v>458</v>
      </c>
      <c r="BC125" s="19" t="s">
        <v>458</v>
      </c>
      <c r="BD125" s="19" t="s">
        <v>458</v>
      </c>
    </row>
    <row r="126" spans="1:56" x14ac:dyDescent="0.2">
      <c r="A126" s="317">
        <v>21</v>
      </c>
      <c r="B126" s="318">
        <v>1</v>
      </c>
      <c r="C126" s="318" t="s">
        <v>29</v>
      </c>
      <c r="D126" s="5">
        <v>27.947019999999998</v>
      </c>
      <c r="E126" s="5">
        <v>33.24503</v>
      </c>
      <c r="F126" s="5">
        <v>36.95364</v>
      </c>
      <c r="G126" s="5">
        <v>38.145690000000002</v>
      </c>
      <c r="H126" s="5">
        <v>40</v>
      </c>
      <c r="I126" s="5">
        <v>41.324509999999997</v>
      </c>
      <c r="J126" s="5">
        <v>42.384099999999997</v>
      </c>
      <c r="K126" s="5">
        <v>43.311259999999997</v>
      </c>
      <c r="L126" s="5">
        <v>44.370869999999996</v>
      </c>
      <c r="M126" s="5">
        <v>46.887419999999999</v>
      </c>
      <c r="N126" s="5">
        <v>53.907290000000003</v>
      </c>
      <c r="O126" s="5" t="s">
        <v>458</v>
      </c>
      <c r="P126" s="5" t="s">
        <v>458</v>
      </c>
      <c r="Q126" s="5" t="s">
        <v>458</v>
      </c>
      <c r="R126" s="5" t="s">
        <v>458</v>
      </c>
      <c r="S126" s="5" t="s">
        <v>458</v>
      </c>
      <c r="T126" s="5" t="s">
        <v>458</v>
      </c>
      <c r="U126" s="5" t="s">
        <v>458</v>
      </c>
      <c r="V126" s="5" t="s">
        <v>458</v>
      </c>
      <c r="W126" s="5" t="s">
        <v>458</v>
      </c>
      <c r="X126" s="5" t="s">
        <v>458</v>
      </c>
      <c r="Y126" s="5" t="s">
        <v>458</v>
      </c>
      <c r="Z126" s="5" t="s">
        <v>458</v>
      </c>
      <c r="AA126" s="5" t="s">
        <v>458</v>
      </c>
      <c r="AB126" s="5" t="s">
        <v>458</v>
      </c>
      <c r="AC126" s="5" t="s">
        <v>458</v>
      </c>
      <c r="AD126" s="5" t="s">
        <v>458</v>
      </c>
      <c r="AE126" s="5" t="s">
        <v>458</v>
      </c>
      <c r="AF126" s="5" t="s">
        <v>458</v>
      </c>
      <c r="AG126" s="5" t="s">
        <v>458</v>
      </c>
      <c r="AH126" s="5" t="s">
        <v>458</v>
      </c>
      <c r="AI126" s="5" t="s">
        <v>458</v>
      </c>
      <c r="AJ126" s="5" t="s">
        <v>458</v>
      </c>
      <c r="AK126" s="5" t="s">
        <v>458</v>
      </c>
      <c r="AL126" s="5" t="s">
        <v>458</v>
      </c>
      <c r="AM126" s="5" t="s">
        <v>458</v>
      </c>
      <c r="AN126" s="5" t="s">
        <v>458</v>
      </c>
      <c r="AO126" s="5" t="s">
        <v>458</v>
      </c>
      <c r="AP126" s="5" t="s">
        <v>458</v>
      </c>
      <c r="AQ126" s="5" t="s">
        <v>458</v>
      </c>
      <c r="AR126" s="5" t="s">
        <v>458</v>
      </c>
      <c r="AS126" s="5" t="s">
        <v>458</v>
      </c>
      <c r="AT126" s="5" t="s">
        <v>458</v>
      </c>
      <c r="AU126" s="5" t="s">
        <v>458</v>
      </c>
      <c r="AV126" s="5" t="s">
        <v>458</v>
      </c>
      <c r="AW126" s="5" t="s">
        <v>458</v>
      </c>
      <c r="AX126" s="5" t="s">
        <v>458</v>
      </c>
      <c r="AY126" s="5" t="s">
        <v>458</v>
      </c>
      <c r="AZ126" s="5" t="s">
        <v>458</v>
      </c>
      <c r="BA126" s="5" t="s">
        <v>458</v>
      </c>
      <c r="BB126" s="5" t="s">
        <v>458</v>
      </c>
      <c r="BC126" s="5" t="s">
        <v>458</v>
      </c>
      <c r="BD126" s="5" t="s">
        <v>458</v>
      </c>
    </row>
    <row r="127" spans="1:56" x14ac:dyDescent="0.2">
      <c r="A127" s="317">
        <v>21</v>
      </c>
      <c r="B127" s="318">
        <v>2</v>
      </c>
      <c r="C127" s="318" t="s">
        <v>86</v>
      </c>
      <c r="D127" s="5">
        <v>23.04636</v>
      </c>
      <c r="E127" s="5">
        <v>28.211929999999999</v>
      </c>
      <c r="F127" s="5">
        <v>36.29139</v>
      </c>
      <c r="G127" s="5">
        <v>40.264899999999997</v>
      </c>
      <c r="H127" s="5">
        <v>42.384099999999997</v>
      </c>
      <c r="I127" s="5">
        <v>43.311259999999997</v>
      </c>
      <c r="J127" s="5">
        <v>44.105960000000003</v>
      </c>
      <c r="K127" s="5">
        <v>45.033119999999997</v>
      </c>
      <c r="L127" s="5">
        <v>45.827809999999999</v>
      </c>
      <c r="M127" s="5">
        <v>46.225169999999999</v>
      </c>
      <c r="N127" s="5">
        <v>47.15231</v>
      </c>
      <c r="O127" s="5">
        <v>54.304639999999999</v>
      </c>
      <c r="P127" s="5" t="s">
        <v>458</v>
      </c>
      <c r="Q127" s="5" t="s">
        <v>458</v>
      </c>
      <c r="R127" s="5" t="s">
        <v>458</v>
      </c>
      <c r="S127" s="5" t="s">
        <v>458</v>
      </c>
      <c r="T127" s="5" t="s">
        <v>458</v>
      </c>
      <c r="U127" s="5" t="s">
        <v>458</v>
      </c>
      <c r="V127" s="5" t="s">
        <v>458</v>
      </c>
      <c r="W127" s="5" t="s">
        <v>458</v>
      </c>
      <c r="X127" s="5" t="s">
        <v>458</v>
      </c>
      <c r="Y127" s="5" t="s">
        <v>458</v>
      </c>
      <c r="Z127" s="5" t="s">
        <v>458</v>
      </c>
      <c r="AA127" s="5" t="s">
        <v>458</v>
      </c>
      <c r="AB127" s="5" t="s">
        <v>458</v>
      </c>
      <c r="AC127" s="5" t="s">
        <v>458</v>
      </c>
      <c r="AD127" s="5" t="s">
        <v>458</v>
      </c>
      <c r="AE127" s="5" t="s">
        <v>458</v>
      </c>
      <c r="AF127" s="5" t="s">
        <v>458</v>
      </c>
      <c r="AG127" s="5" t="s">
        <v>458</v>
      </c>
      <c r="AH127" s="5" t="s">
        <v>458</v>
      </c>
      <c r="AI127" s="5" t="s">
        <v>458</v>
      </c>
      <c r="AJ127" s="5" t="s">
        <v>458</v>
      </c>
      <c r="AK127" s="5" t="s">
        <v>458</v>
      </c>
      <c r="AL127" s="5" t="s">
        <v>458</v>
      </c>
      <c r="AM127" s="5" t="s">
        <v>458</v>
      </c>
      <c r="AN127" s="5" t="s">
        <v>458</v>
      </c>
      <c r="AO127" s="5" t="s">
        <v>458</v>
      </c>
      <c r="AP127" s="5" t="s">
        <v>458</v>
      </c>
      <c r="AQ127" s="5" t="s">
        <v>458</v>
      </c>
      <c r="AR127" s="5" t="s">
        <v>458</v>
      </c>
      <c r="AS127" s="5" t="s">
        <v>458</v>
      </c>
      <c r="AT127" s="5" t="s">
        <v>458</v>
      </c>
      <c r="AU127" s="5" t="s">
        <v>458</v>
      </c>
      <c r="AV127" s="5" t="s">
        <v>458</v>
      </c>
      <c r="AW127" s="5" t="s">
        <v>458</v>
      </c>
      <c r="AX127" s="5" t="s">
        <v>458</v>
      </c>
      <c r="AY127" s="5" t="s">
        <v>458</v>
      </c>
      <c r="AZ127" s="5" t="s">
        <v>458</v>
      </c>
      <c r="BA127" s="5" t="s">
        <v>458</v>
      </c>
      <c r="BB127" s="5" t="s">
        <v>458</v>
      </c>
      <c r="BC127" s="5" t="s">
        <v>458</v>
      </c>
      <c r="BD127" s="5" t="s">
        <v>458</v>
      </c>
    </row>
    <row r="128" spans="1:56" x14ac:dyDescent="0.2">
      <c r="A128" s="317">
        <v>21</v>
      </c>
      <c r="B128" s="318">
        <v>3</v>
      </c>
      <c r="C128" s="318" t="s">
        <v>87</v>
      </c>
      <c r="D128" s="5">
        <v>28.211929999999999</v>
      </c>
      <c r="E128" s="5">
        <v>29.271519999999999</v>
      </c>
      <c r="F128" s="5">
        <v>30.19868</v>
      </c>
      <c r="G128" s="5">
        <v>31.390730000000001</v>
      </c>
      <c r="H128" s="5">
        <v>32.847679999999997</v>
      </c>
      <c r="I128" s="5">
        <v>33.24503</v>
      </c>
      <c r="J128" s="5">
        <v>39.33775</v>
      </c>
      <c r="K128" s="5">
        <v>43.841059999999999</v>
      </c>
      <c r="L128" s="5">
        <v>45.298009999999998</v>
      </c>
      <c r="M128" s="5">
        <v>46.09272</v>
      </c>
      <c r="N128" s="5">
        <v>46.887419999999999</v>
      </c>
      <c r="O128" s="5">
        <v>47.947020000000002</v>
      </c>
      <c r="P128" s="5">
        <v>54.172179999999997</v>
      </c>
      <c r="Q128" s="5" t="s">
        <v>458</v>
      </c>
      <c r="R128" s="5" t="s">
        <v>458</v>
      </c>
      <c r="S128" s="5" t="s">
        <v>458</v>
      </c>
      <c r="T128" s="5" t="s">
        <v>458</v>
      </c>
      <c r="U128" s="5" t="s">
        <v>458</v>
      </c>
      <c r="V128" s="5" t="s">
        <v>458</v>
      </c>
      <c r="W128" s="5" t="s">
        <v>458</v>
      </c>
      <c r="X128" s="5" t="s">
        <v>458</v>
      </c>
      <c r="Y128" s="5" t="s">
        <v>458</v>
      </c>
      <c r="Z128" s="5" t="s">
        <v>458</v>
      </c>
      <c r="AA128" s="5" t="s">
        <v>458</v>
      </c>
      <c r="AB128" s="5" t="s">
        <v>458</v>
      </c>
      <c r="AC128" s="5" t="s">
        <v>458</v>
      </c>
      <c r="AD128" s="5" t="s">
        <v>458</v>
      </c>
      <c r="AE128" s="5" t="s">
        <v>458</v>
      </c>
      <c r="AF128" s="5" t="s">
        <v>458</v>
      </c>
      <c r="AG128" s="5" t="s">
        <v>458</v>
      </c>
      <c r="AH128" s="5" t="s">
        <v>458</v>
      </c>
      <c r="AI128" s="5" t="s">
        <v>458</v>
      </c>
      <c r="AJ128" s="5" t="s">
        <v>458</v>
      </c>
      <c r="AK128" s="5" t="s">
        <v>458</v>
      </c>
      <c r="AL128" s="5" t="s">
        <v>458</v>
      </c>
      <c r="AM128" s="5" t="s">
        <v>458</v>
      </c>
      <c r="AN128" s="5" t="s">
        <v>458</v>
      </c>
      <c r="AO128" s="5" t="s">
        <v>458</v>
      </c>
      <c r="AP128" s="5" t="s">
        <v>458</v>
      </c>
      <c r="AQ128" s="5" t="s">
        <v>458</v>
      </c>
      <c r="AR128" s="5" t="s">
        <v>458</v>
      </c>
      <c r="AS128" s="5" t="s">
        <v>458</v>
      </c>
      <c r="AT128" s="5" t="s">
        <v>458</v>
      </c>
      <c r="AU128" s="5" t="s">
        <v>458</v>
      </c>
      <c r="AV128" s="5" t="s">
        <v>458</v>
      </c>
      <c r="AW128" s="5" t="s">
        <v>458</v>
      </c>
      <c r="AX128" s="5" t="s">
        <v>458</v>
      </c>
      <c r="AY128" s="5" t="s">
        <v>458</v>
      </c>
      <c r="AZ128" s="5" t="s">
        <v>458</v>
      </c>
      <c r="BA128" s="5" t="s">
        <v>458</v>
      </c>
      <c r="BB128" s="5" t="s">
        <v>458</v>
      </c>
      <c r="BC128" s="5" t="s">
        <v>458</v>
      </c>
      <c r="BD128" s="5" t="s">
        <v>458</v>
      </c>
    </row>
    <row r="129" spans="1:56" x14ac:dyDescent="0.2">
      <c r="A129" s="317">
        <v>21</v>
      </c>
      <c r="B129" s="318">
        <v>4</v>
      </c>
      <c r="C129" s="318" t="s">
        <v>88</v>
      </c>
      <c r="D129" s="5">
        <v>28.211929999999999</v>
      </c>
      <c r="E129" s="5">
        <v>33.50994</v>
      </c>
      <c r="F129" s="5">
        <v>34.437089999999998</v>
      </c>
      <c r="G129" s="5">
        <v>35.364249999999998</v>
      </c>
      <c r="H129" s="5">
        <v>36.29139</v>
      </c>
      <c r="I129" s="5">
        <v>40.264899999999997</v>
      </c>
      <c r="J129" s="5">
        <v>40.794710000000002</v>
      </c>
      <c r="K129" s="5">
        <v>41.854309999999998</v>
      </c>
      <c r="L129" s="5">
        <v>42.781460000000003</v>
      </c>
      <c r="M129" s="5">
        <v>42.913899999999998</v>
      </c>
      <c r="N129" s="5">
        <v>44.370869999999996</v>
      </c>
      <c r="O129" s="5">
        <v>45.562919999999998</v>
      </c>
      <c r="P129" s="5">
        <v>46.887419999999999</v>
      </c>
      <c r="Q129" s="5">
        <v>46.887419999999999</v>
      </c>
      <c r="R129" s="5">
        <v>50.331130000000002</v>
      </c>
      <c r="S129" s="5">
        <v>54.039740000000002</v>
      </c>
      <c r="T129" s="5" t="s">
        <v>458</v>
      </c>
      <c r="U129" s="5" t="s">
        <v>458</v>
      </c>
      <c r="V129" s="5" t="s">
        <v>458</v>
      </c>
      <c r="W129" s="5" t="s">
        <v>458</v>
      </c>
      <c r="X129" s="5" t="s">
        <v>458</v>
      </c>
      <c r="Y129" s="5" t="s">
        <v>458</v>
      </c>
      <c r="Z129" s="5" t="s">
        <v>458</v>
      </c>
      <c r="AA129" s="5" t="s">
        <v>458</v>
      </c>
      <c r="AB129" s="5" t="s">
        <v>458</v>
      </c>
      <c r="AC129" s="5" t="s">
        <v>458</v>
      </c>
      <c r="AD129" s="5" t="s">
        <v>458</v>
      </c>
      <c r="AE129" s="5" t="s">
        <v>458</v>
      </c>
      <c r="AF129" s="5" t="s">
        <v>458</v>
      </c>
      <c r="AG129" s="5" t="s">
        <v>458</v>
      </c>
      <c r="AH129" s="5" t="s">
        <v>458</v>
      </c>
      <c r="AI129" s="5" t="s">
        <v>458</v>
      </c>
      <c r="AJ129" s="5" t="s">
        <v>458</v>
      </c>
      <c r="AK129" s="5" t="s">
        <v>458</v>
      </c>
      <c r="AL129" s="5" t="s">
        <v>458</v>
      </c>
      <c r="AM129" s="5" t="s">
        <v>458</v>
      </c>
      <c r="AN129" s="5" t="s">
        <v>458</v>
      </c>
      <c r="AO129" s="5" t="s">
        <v>458</v>
      </c>
      <c r="AP129" s="5" t="s">
        <v>458</v>
      </c>
      <c r="AQ129" s="5" t="s">
        <v>458</v>
      </c>
      <c r="AR129" s="5" t="s">
        <v>458</v>
      </c>
      <c r="AS129" s="5" t="s">
        <v>458</v>
      </c>
      <c r="AT129" s="5" t="s">
        <v>458</v>
      </c>
      <c r="AU129" s="5" t="s">
        <v>458</v>
      </c>
      <c r="AV129" s="5" t="s">
        <v>458</v>
      </c>
      <c r="AW129" s="5" t="s">
        <v>458</v>
      </c>
      <c r="AX129" s="5" t="s">
        <v>458</v>
      </c>
      <c r="AY129" s="5" t="s">
        <v>458</v>
      </c>
      <c r="AZ129" s="5" t="s">
        <v>458</v>
      </c>
      <c r="BA129" s="5" t="s">
        <v>458</v>
      </c>
      <c r="BB129" s="5" t="s">
        <v>458</v>
      </c>
      <c r="BC129" s="5" t="s">
        <v>458</v>
      </c>
      <c r="BD129" s="5" t="s">
        <v>458</v>
      </c>
    </row>
    <row r="130" spans="1:56" s="19" customFormat="1" x14ac:dyDescent="0.2">
      <c r="A130" s="319">
        <v>21</v>
      </c>
      <c r="B130" s="320">
        <v>5</v>
      </c>
      <c r="C130" s="320" t="s">
        <v>89</v>
      </c>
      <c r="D130" s="19">
        <v>25.960270000000001</v>
      </c>
      <c r="E130" s="19">
        <v>28.609269999999999</v>
      </c>
      <c r="F130" s="19">
        <v>32.847679999999997</v>
      </c>
      <c r="G130" s="19">
        <v>34.039729999999999</v>
      </c>
      <c r="H130" s="19">
        <v>34.437089999999998</v>
      </c>
      <c r="I130" s="19">
        <v>35.231780000000001</v>
      </c>
      <c r="J130" s="19">
        <v>35.364249999999998</v>
      </c>
      <c r="K130" s="19">
        <v>35.62914</v>
      </c>
      <c r="L130" s="19">
        <v>38.145690000000002</v>
      </c>
      <c r="M130" s="19">
        <v>39.867550000000001</v>
      </c>
      <c r="N130" s="19">
        <v>42.781460000000003</v>
      </c>
      <c r="O130" s="19">
        <v>44.370869999999996</v>
      </c>
      <c r="P130" s="19">
        <v>45.298009999999998</v>
      </c>
      <c r="Q130" s="19">
        <v>45.960259999999998</v>
      </c>
      <c r="R130" s="19">
        <v>46.225169999999999</v>
      </c>
      <c r="S130" s="19">
        <v>46.887419999999999</v>
      </c>
      <c r="T130" s="19">
        <v>50.331130000000002</v>
      </c>
      <c r="U130" s="19">
        <v>54.039740000000002</v>
      </c>
      <c r="V130" s="19" t="s">
        <v>458</v>
      </c>
      <c r="W130" s="19" t="s">
        <v>458</v>
      </c>
      <c r="X130" s="19" t="s">
        <v>458</v>
      </c>
      <c r="Y130" s="19" t="s">
        <v>458</v>
      </c>
      <c r="Z130" s="19" t="s">
        <v>458</v>
      </c>
      <c r="AA130" s="19" t="s">
        <v>458</v>
      </c>
      <c r="AB130" s="19" t="s">
        <v>458</v>
      </c>
      <c r="AC130" s="19" t="s">
        <v>458</v>
      </c>
      <c r="AD130" s="19" t="s">
        <v>458</v>
      </c>
      <c r="AE130" s="19" t="s">
        <v>458</v>
      </c>
      <c r="AF130" s="19" t="s">
        <v>458</v>
      </c>
      <c r="AG130" s="19" t="s">
        <v>458</v>
      </c>
      <c r="AH130" s="19" t="s">
        <v>458</v>
      </c>
      <c r="AI130" s="19" t="s">
        <v>458</v>
      </c>
      <c r="AJ130" s="19" t="s">
        <v>458</v>
      </c>
      <c r="AK130" s="19" t="s">
        <v>458</v>
      </c>
      <c r="AL130" s="19" t="s">
        <v>458</v>
      </c>
      <c r="AM130" s="19" t="s">
        <v>458</v>
      </c>
      <c r="AN130" s="19" t="s">
        <v>458</v>
      </c>
      <c r="AO130" s="19" t="s">
        <v>458</v>
      </c>
      <c r="AP130" s="19" t="s">
        <v>458</v>
      </c>
      <c r="AQ130" s="19" t="s">
        <v>458</v>
      </c>
      <c r="AR130" s="19" t="s">
        <v>458</v>
      </c>
      <c r="AS130" s="19" t="s">
        <v>458</v>
      </c>
      <c r="AT130" s="19" t="s">
        <v>458</v>
      </c>
      <c r="AU130" s="19" t="s">
        <v>458</v>
      </c>
      <c r="AV130" s="19" t="s">
        <v>458</v>
      </c>
      <c r="AW130" s="19" t="s">
        <v>458</v>
      </c>
      <c r="AX130" s="19" t="s">
        <v>458</v>
      </c>
      <c r="AY130" s="19" t="s">
        <v>458</v>
      </c>
      <c r="AZ130" s="19" t="s">
        <v>458</v>
      </c>
      <c r="BA130" s="19" t="s">
        <v>458</v>
      </c>
      <c r="BB130" s="19" t="s">
        <v>458</v>
      </c>
      <c r="BC130" s="19" t="s">
        <v>458</v>
      </c>
      <c r="BD130" s="19" t="s">
        <v>458</v>
      </c>
    </row>
    <row r="131" spans="1:56" x14ac:dyDescent="0.2">
      <c r="A131" s="317">
        <v>24</v>
      </c>
      <c r="B131" s="318">
        <v>5</v>
      </c>
      <c r="C131" s="318" t="s">
        <v>29</v>
      </c>
      <c r="D131" s="5">
        <v>8.0182300000000009</v>
      </c>
      <c r="E131" s="5">
        <v>13.485200000000001</v>
      </c>
      <c r="F131" s="5">
        <v>17.85877</v>
      </c>
      <c r="G131" s="5">
        <v>20.410019999999999</v>
      </c>
      <c r="H131" s="5">
        <v>25.512519999999999</v>
      </c>
      <c r="I131" s="5">
        <v>34.988610000000001</v>
      </c>
      <c r="J131" s="5">
        <v>44.829160000000002</v>
      </c>
      <c r="K131" s="5">
        <v>52.482909999999997</v>
      </c>
      <c r="L131" s="5">
        <v>61.959000000000003</v>
      </c>
      <c r="M131" s="5">
        <v>71.070610000000002</v>
      </c>
      <c r="N131" s="5">
        <v>77.995429999999999</v>
      </c>
      <c r="O131" s="5">
        <v>89.293840000000003</v>
      </c>
      <c r="P131" s="5">
        <v>96.947609999999997</v>
      </c>
      <c r="Q131" s="5">
        <v>106.78814</v>
      </c>
      <c r="R131" s="5">
        <v>122.46014</v>
      </c>
      <c r="S131" s="5">
        <v>137.76764</v>
      </c>
      <c r="T131" s="5">
        <v>151.25282000000001</v>
      </c>
      <c r="U131" s="5">
        <v>160.72891000000001</v>
      </c>
      <c r="V131" s="5" t="s">
        <v>458</v>
      </c>
      <c r="W131" s="5" t="s">
        <v>458</v>
      </c>
      <c r="X131" s="5" t="s">
        <v>458</v>
      </c>
      <c r="Y131" s="5" t="s">
        <v>458</v>
      </c>
      <c r="Z131" s="5" t="s">
        <v>458</v>
      </c>
      <c r="AA131" s="5" t="s">
        <v>458</v>
      </c>
      <c r="AB131" s="5" t="s">
        <v>458</v>
      </c>
      <c r="AC131" s="5" t="s">
        <v>458</v>
      </c>
      <c r="AD131" s="5" t="s">
        <v>458</v>
      </c>
      <c r="AE131" s="5" t="s">
        <v>458</v>
      </c>
      <c r="AF131" s="5" t="s">
        <v>458</v>
      </c>
      <c r="AG131" s="5" t="s">
        <v>458</v>
      </c>
      <c r="AH131" s="5" t="s">
        <v>458</v>
      </c>
      <c r="AI131" s="5" t="s">
        <v>458</v>
      </c>
      <c r="AJ131" s="5" t="s">
        <v>458</v>
      </c>
      <c r="AK131" s="5" t="s">
        <v>458</v>
      </c>
      <c r="AL131" s="5" t="s">
        <v>458</v>
      </c>
      <c r="AM131" s="5" t="s">
        <v>458</v>
      </c>
      <c r="AN131" s="5" t="s">
        <v>458</v>
      </c>
      <c r="AO131" s="5" t="s">
        <v>458</v>
      </c>
      <c r="AP131" s="5" t="s">
        <v>458</v>
      </c>
      <c r="AQ131" s="5" t="s">
        <v>458</v>
      </c>
      <c r="AR131" s="5" t="s">
        <v>458</v>
      </c>
      <c r="AS131" s="5" t="s">
        <v>458</v>
      </c>
      <c r="AT131" s="5" t="s">
        <v>458</v>
      </c>
      <c r="AU131" s="5" t="s">
        <v>458</v>
      </c>
      <c r="AV131" s="5" t="s">
        <v>458</v>
      </c>
      <c r="AW131" s="5" t="s">
        <v>458</v>
      </c>
      <c r="AX131" s="5" t="s">
        <v>458</v>
      </c>
      <c r="AY131" s="5" t="s">
        <v>458</v>
      </c>
      <c r="AZ131" s="5" t="s">
        <v>458</v>
      </c>
      <c r="BA131" s="5" t="s">
        <v>458</v>
      </c>
      <c r="BB131" s="5" t="s">
        <v>458</v>
      </c>
      <c r="BC131" s="5" t="s">
        <v>458</v>
      </c>
      <c r="BD131" s="5" t="s">
        <v>458</v>
      </c>
    </row>
    <row r="132" spans="1:56" x14ac:dyDescent="0.2">
      <c r="A132" s="317">
        <v>24</v>
      </c>
      <c r="B132" s="318">
        <v>6</v>
      </c>
      <c r="C132" s="318" t="s">
        <v>93</v>
      </c>
      <c r="D132" s="5">
        <v>3.2073</v>
      </c>
      <c r="E132" s="5">
        <v>13.485200000000001</v>
      </c>
      <c r="F132" s="5">
        <v>25.512540000000001</v>
      </c>
      <c r="G132" s="5">
        <v>32.072899999999997</v>
      </c>
      <c r="H132" s="5">
        <v>38.63326</v>
      </c>
      <c r="I132" s="5">
        <v>45.193629999999999</v>
      </c>
      <c r="J132" s="5">
        <v>51.753990000000002</v>
      </c>
      <c r="K132" s="5">
        <v>58.314360000000001</v>
      </c>
      <c r="L132" s="5">
        <v>64.874719999999996</v>
      </c>
      <c r="M132" s="5">
        <v>71.435090000000002</v>
      </c>
      <c r="N132" s="5">
        <v>77.995450000000005</v>
      </c>
      <c r="O132" s="5">
        <v>84.555809999999994</v>
      </c>
      <c r="P132" s="5">
        <v>100.59225000000001</v>
      </c>
      <c r="Q132" s="5">
        <v>119.32574</v>
      </c>
      <c r="R132" s="5">
        <v>125.88611</v>
      </c>
      <c r="S132" s="5">
        <v>132.44647000000001</v>
      </c>
      <c r="T132" s="5">
        <v>139.00684000000001</v>
      </c>
      <c r="U132" s="5">
        <v>145.56720000000001</v>
      </c>
      <c r="V132" s="5">
        <v>152.12756999999999</v>
      </c>
      <c r="W132" s="5">
        <v>158.68792999999999</v>
      </c>
      <c r="X132" s="5" t="s">
        <v>458</v>
      </c>
      <c r="Y132" s="5" t="s">
        <v>458</v>
      </c>
      <c r="Z132" s="5" t="s">
        <v>458</v>
      </c>
      <c r="AA132" s="5" t="s">
        <v>458</v>
      </c>
      <c r="AB132" s="5" t="s">
        <v>458</v>
      </c>
      <c r="AC132" s="5" t="s">
        <v>458</v>
      </c>
      <c r="AD132" s="5" t="s">
        <v>458</v>
      </c>
      <c r="AE132" s="5" t="s">
        <v>458</v>
      </c>
      <c r="AF132" s="5" t="s">
        <v>458</v>
      </c>
      <c r="AG132" s="5" t="s">
        <v>458</v>
      </c>
      <c r="AH132" s="5" t="s">
        <v>458</v>
      </c>
      <c r="AI132" s="5" t="s">
        <v>458</v>
      </c>
      <c r="AJ132" s="5" t="s">
        <v>458</v>
      </c>
      <c r="AK132" s="5" t="s">
        <v>458</v>
      </c>
      <c r="AL132" s="5" t="s">
        <v>458</v>
      </c>
      <c r="AM132" s="5" t="s">
        <v>458</v>
      </c>
      <c r="AN132" s="5" t="s">
        <v>458</v>
      </c>
      <c r="AO132" s="5" t="s">
        <v>458</v>
      </c>
      <c r="AP132" s="5" t="s">
        <v>458</v>
      </c>
      <c r="AQ132" s="5" t="s">
        <v>458</v>
      </c>
      <c r="AR132" s="5" t="s">
        <v>458</v>
      </c>
      <c r="AS132" s="5" t="s">
        <v>458</v>
      </c>
      <c r="AT132" s="5" t="s">
        <v>458</v>
      </c>
      <c r="AU132" s="5" t="s">
        <v>458</v>
      </c>
      <c r="AV132" s="5" t="s">
        <v>458</v>
      </c>
      <c r="AW132" s="5" t="s">
        <v>458</v>
      </c>
      <c r="AX132" s="5" t="s">
        <v>458</v>
      </c>
      <c r="AY132" s="5" t="s">
        <v>458</v>
      </c>
      <c r="AZ132" s="5" t="s">
        <v>458</v>
      </c>
      <c r="BA132" s="5" t="s">
        <v>458</v>
      </c>
      <c r="BB132" s="5" t="s">
        <v>458</v>
      </c>
      <c r="BC132" s="5" t="s">
        <v>458</v>
      </c>
      <c r="BD132" s="5" t="s">
        <v>458</v>
      </c>
    </row>
    <row r="133" spans="1:56" x14ac:dyDescent="0.2">
      <c r="A133" s="317">
        <v>24</v>
      </c>
      <c r="B133" s="318">
        <v>7</v>
      </c>
      <c r="C133" s="318" t="s">
        <v>91</v>
      </c>
      <c r="D133" s="5">
        <v>22.560369999999999</v>
      </c>
      <c r="E133" s="5">
        <v>27.480640000000001</v>
      </c>
      <c r="F133" s="5">
        <v>32.728940000000001</v>
      </c>
      <c r="G133" s="5">
        <v>38.63326</v>
      </c>
      <c r="H133" s="5">
        <v>45.193629999999999</v>
      </c>
      <c r="I133" s="5">
        <v>51.753990000000002</v>
      </c>
      <c r="J133" s="5">
        <v>58.314360000000001</v>
      </c>
      <c r="K133" s="5">
        <v>69.466980000000007</v>
      </c>
      <c r="L133" s="5">
        <v>76.027339999999995</v>
      </c>
      <c r="M133" s="5">
        <v>82.587699999999998</v>
      </c>
      <c r="N133" s="5">
        <v>95.12527</v>
      </c>
      <c r="O133" s="5">
        <v>104.60136</v>
      </c>
      <c r="P133" s="5">
        <v>116.37358</v>
      </c>
      <c r="Q133" s="5">
        <v>122.93395</v>
      </c>
      <c r="R133" s="5">
        <v>129.49431000000001</v>
      </c>
      <c r="S133" s="5">
        <v>141.41228000000001</v>
      </c>
      <c r="T133" s="5">
        <v>152.34622999999999</v>
      </c>
      <c r="U133" s="5">
        <v>161.09336999999999</v>
      </c>
      <c r="V133" s="5" t="s">
        <v>458</v>
      </c>
      <c r="W133" s="5" t="s">
        <v>458</v>
      </c>
      <c r="X133" s="5" t="s">
        <v>458</v>
      </c>
      <c r="Y133" s="5" t="s">
        <v>458</v>
      </c>
      <c r="Z133" s="5" t="s">
        <v>458</v>
      </c>
      <c r="AA133" s="5" t="s">
        <v>458</v>
      </c>
      <c r="AB133" s="5" t="s">
        <v>458</v>
      </c>
      <c r="AC133" s="5" t="s">
        <v>458</v>
      </c>
      <c r="AD133" s="5" t="s">
        <v>458</v>
      </c>
      <c r="AE133" s="5" t="s">
        <v>458</v>
      </c>
      <c r="AF133" s="5" t="s">
        <v>458</v>
      </c>
      <c r="AG133" s="5" t="s">
        <v>458</v>
      </c>
      <c r="AH133" s="5" t="s">
        <v>458</v>
      </c>
      <c r="AI133" s="5" t="s">
        <v>458</v>
      </c>
      <c r="AJ133" s="5" t="s">
        <v>458</v>
      </c>
      <c r="AK133" s="5" t="s">
        <v>458</v>
      </c>
      <c r="AL133" s="5" t="s">
        <v>458</v>
      </c>
      <c r="AM133" s="5" t="s">
        <v>458</v>
      </c>
      <c r="AN133" s="5" t="s">
        <v>458</v>
      </c>
      <c r="AO133" s="5" t="s">
        <v>458</v>
      </c>
      <c r="AP133" s="5" t="s">
        <v>458</v>
      </c>
      <c r="AQ133" s="5" t="s">
        <v>458</v>
      </c>
      <c r="AR133" s="5" t="s">
        <v>458</v>
      </c>
      <c r="AS133" s="5" t="s">
        <v>458</v>
      </c>
      <c r="AT133" s="5" t="s">
        <v>458</v>
      </c>
      <c r="AU133" s="5" t="s">
        <v>458</v>
      </c>
      <c r="AV133" s="5" t="s">
        <v>458</v>
      </c>
      <c r="AW133" s="5" t="s">
        <v>458</v>
      </c>
      <c r="AX133" s="5" t="s">
        <v>458</v>
      </c>
      <c r="AY133" s="5" t="s">
        <v>458</v>
      </c>
      <c r="AZ133" s="5" t="s">
        <v>458</v>
      </c>
      <c r="BA133" s="5" t="s">
        <v>458</v>
      </c>
      <c r="BB133" s="5" t="s">
        <v>458</v>
      </c>
      <c r="BC133" s="5" t="s">
        <v>458</v>
      </c>
      <c r="BD133" s="5" t="s">
        <v>458</v>
      </c>
    </row>
    <row r="134" spans="1:56" s="19" customFormat="1" x14ac:dyDescent="0.2">
      <c r="A134" s="319">
        <v>24</v>
      </c>
      <c r="B134" s="320">
        <v>8</v>
      </c>
      <c r="C134" s="320" t="s">
        <v>92</v>
      </c>
      <c r="D134" s="19">
        <v>3.2073</v>
      </c>
      <c r="E134" s="19">
        <v>5.8314399999999997</v>
      </c>
      <c r="F134" s="19">
        <v>8.1275700000000004</v>
      </c>
      <c r="G134" s="19">
        <v>12.39181</v>
      </c>
      <c r="H134" s="19">
        <v>16.328029999999998</v>
      </c>
      <c r="I134" s="19">
        <v>20.264240000000001</v>
      </c>
      <c r="J134" s="19">
        <v>25.512540000000001</v>
      </c>
      <c r="K134" s="19">
        <v>31.088850000000001</v>
      </c>
      <c r="L134" s="19">
        <v>37.321190000000001</v>
      </c>
      <c r="M134" s="19">
        <v>43.88156</v>
      </c>
      <c r="N134" s="19">
        <v>50.441920000000003</v>
      </c>
      <c r="O134" s="19">
        <v>57.002279999999999</v>
      </c>
      <c r="P134" s="19">
        <v>63.562649999999998</v>
      </c>
      <c r="Q134" s="19">
        <v>70.123009999999994</v>
      </c>
      <c r="R134" s="19">
        <v>76.68338</v>
      </c>
      <c r="S134" s="19">
        <v>83.243740000000003</v>
      </c>
      <c r="T134" s="19">
        <v>89.804109999999994</v>
      </c>
      <c r="U134" s="19">
        <v>96.364469999999997</v>
      </c>
      <c r="V134" s="19">
        <v>102.59681999999999</v>
      </c>
      <c r="W134" s="19">
        <v>109.15718</v>
      </c>
      <c r="X134" s="19">
        <v>115.71754</v>
      </c>
      <c r="Y134" s="19">
        <v>122.27791000000001</v>
      </c>
      <c r="Z134" s="19">
        <v>128.83826999999999</v>
      </c>
      <c r="AA134" s="19">
        <v>135.39864</v>
      </c>
      <c r="AB134" s="19">
        <v>141.959</v>
      </c>
      <c r="AC134" s="19">
        <v>148.51937000000001</v>
      </c>
      <c r="AD134" s="19">
        <v>155.07973000000001</v>
      </c>
      <c r="AE134" s="19">
        <v>161.64008999999999</v>
      </c>
      <c r="AF134" s="19" t="s">
        <v>458</v>
      </c>
      <c r="AG134" s="19" t="s">
        <v>458</v>
      </c>
      <c r="AH134" s="19" t="s">
        <v>458</v>
      </c>
      <c r="AI134" s="19" t="s">
        <v>458</v>
      </c>
      <c r="AJ134" s="19" t="s">
        <v>458</v>
      </c>
      <c r="AK134" s="19" t="s">
        <v>458</v>
      </c>
      <c r="AL134" s="19" t="s">
        <v>458</v>
      </c>
      <c r="AM134" s="19" t="s">
        <v>458</v>
      </c>
      <c r="AN134" s="19" t="s">
        <v>458</v>
      </c>
      <c r="AO134" s="19" t="s">
        <v>458</v>
      </c>
      <c r="AP134" s="19" t="s">
        <v>458</v>
      </c>
      <c r="AQ134" s="19" t="s">
        <v>458</v>
      </c>
      <c r="AR134" s="19" t="s">
        <v>458</v>
      </c>
      <c r="AS134" s="19" t="s">
        <v>458</v>
      </c>
      <c r="AT134" s="19" t="s">
        <v>458</v>
      </c>
      <c r="AU134" s="19" t="s">
        <v>458</v>
      </c>
      <c r="AV134" s="19" t="s">
        <v>458</v>
      </c>
      <c r="AW134" s="19" t="s">
        <v>458</v>
      </c>
      <c r="AX134" s="19" t="s">
        <v>458</v>
      </c>
      <c r="AY134" s="19" t="s">
        <v>458</v>
      </c>
      <c r="AZ134" s="19" t="s">
        <v>458</v>
      </c>
      <c r="BA134" s="19" t="s">
        <v>458</v>
      </c>
      <c r="BB134" s="19" t="s">
        <v>458</v>
      </c>
      <c r="BC134" s="19" t="s">
        <v>458</v>
      </c>
      <c r="BD134" s="19" t="s">
        <v>458</v>
      </c>
    </row>
    <row r="135" spans="1:56" x14ac:dyDescent="0.2">
      <c r="A135" s="317"/>
      <c r="B135" s="318"/>
      <c r="C135" s="318"/>
    </row>
  </sheetData>
  <autoFilter ref="A1:BF139" xr:uid="{208783F2-A7C7-409F-95CA-F45C110F3F8B}">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autoFilter>
  <sortState xmlns:xlrd2="http://schemas.microsoft.com/office/spreadsheetml/2017/richdata2" ref="D58:E86">
    <sortCondition ref="D58:D86"/>
  </sortState>
  <mergeCells count="1">
    <mergeCell ref="D1:AM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CB385-93BC-483B-8868-849C5308A558}">
  <dimension ref="A1:C32"/>
  <sheetViews>
    <sheetView workbookViewId="0">
      <pane ySplit="1" topLeftCell="A2" activePane="bottomLeft" state="frozen"/>
      <selection pane="bottomLeft" activeCell="C15" sqref="C15"/>
    </sheetView>
  </sheetViews>
  <sheetFormatPr baseColWidth="10" defaultColWidth="8.83203125" defaultRowHeight="15" x14ac:dyDescent="0.2"/>
  <cols>
    <col min="2" max="2" width="109.83203125" customWidth="1"/>
    <col min="3" max="3" width="96.33203125" customWidth="1"/>
  </cols>
  <sheetData>
    <row r="1" spans="1:3" s="2" customFormat="1" x14ac:dyDescent="0.2">
      <c r="A1" s="6" t="s">
        <v>0</v>
      </c>
      <c r="B1" s="6" t="s">
        <v>94</v>
      </c>
      <c r="C1" s="6" t="s">
        <v>95</v>
      </c>
    </row>
    <row r="2" spans="1:3" s="3" customFormat="1" ht="32" x14ac:dyDescent="0.2">
      <c r="A2" s="8">
        <v>4</v>
      </c>
      <c r="B2" s="9" t="s">
        <v>1</v>
      </c>
      <c r="C2" s="5" t="s">
        <v>2</v>
      </c>
    </row>
    <row r="3" spans="1:3" s="3" customFormat="1" ht="16" x14ac:dyDescent="0.2">
      <c r="A3" s="8">
        <v>5</v>
      </c>
      <c r="B3" s="9" t="s">
        <v>28</v>
      </c>
      <c r="C3" s="5" t="s">
        <v>27</v>
      </c>
    </row>
    <row r="4" spans="1:3" ht="16" x14ac:dyDescent="0.2">
      <c r="A4" s="8">
        <v>6</v>
      </c>
      <c r="B4" s="9" t="s">
        <v>25</v>
      </c>
      <c r="C4" s="5" t="s">
        <v>26</v>
      </c>
    </row>
    <row r="5" spans="1:3" ht="32" x14ac:dyDescent="0.2">
      <c r="A5" s="8">
        <v>8</v>
      </c>
      <c r="B5" s="9" t="s">
        <v>3</v>
      </c>
      <c r="C5" s="5" t="s">
        <v>447</v>
      </c>
    </row>
    <row r="6" spans="1:3" ht="30.75" customHeight="1" x14ac:dyDescent="0.2">
      <c r="A6" s="8">
        <v>9</v>
      </c>
      <c r="B6" s="9" t="s">
        <v>5</v>
      </c>
      <c r="C6" s="5" t="s">
        <v>4</v>
      </c>
    </row>
    <row r="7" spans="1:3" ht="16" x14ac:dyDescent="0.2">
      <c r="A7" s="8">
        <v>10</v>
      </c>
      <c r="B7" s="9" t="s">
        <v>23</v>
      </c>
      <c r="C7" s="5" t="s">
        <v>24</v>
      </c>
    </row>
    <row r="8" spans="1:3" ht="16" x14ac:dyDescent="0.2">
      <c r="A8" s="8">
        <v>11</v>
      </c>
      <c r="B8" s="9" t="s">
        <v>21</v>
      </c>
      <c r="C8" s="10" t="s">
        <v>22</v>
      </c>
    </row>
    <row r="9" spans="1:3" ht="32" x14ac:dyDescent="0.2">
      <c r="A9" s="8">
        <v>12</v>
      </c>
      <c r="B9" s="9" t="s">
        <v>19</v>
      </c>
      <c r="C9" s="5" t="s">
        <v>20</v>
      </c>
    </row>
    <row r="10" spans="1:3" ht="29.25" customHeight="1" x14ac:dyDescent="0.2">
      <c r="A10" s="8">
        <v>13</v>
      </c>
      <c r="B10" s="9" t="s">
        <v>6</v>
      </c>
      <c r="C10" s="5" t="s">
        <v>7</v>
      </c>
    </row>
    <row r="11" spans="1:3" ht="32" x14ac:dyDescent="0.2">
      <c r="A11" s="8">
        <v>14</v>
      </c>
      <c r="B11" s="11" t="s">
        <v>17</v>
      </c>
      <c r="C11" s="10" t="s">
        <v>18</v>
      </c>
    </row>
    <row r="12" spans="1:3" ht="16" x14ac:dyDescent="0.2">
      <c r="A12" s="8">
        <v>15</v>
      </c>
      <c r="B12" s="9" t="s">
        <v>8</v>
      </c>
      <c r="C12" s="5" t="s">
        <v>9</v>
      </c>
    </row>
    <row r="13" spans="1:3" ht="16" x14ac:dyDescent="0.2">
      <c r="A13" s="8">
        <v>16</v>
      </c>
      <c r="B13" s="9" t="s">
        <v>10</v>
      </c>
      <c r="C13" s="285" t="s">
        <v>11</v>
      </c>
    </row>
    <row r="14" spans="1:3" ht="16" x14ac:dyDescent="0.2">
      <c r="A14" s="8">
        <v>18</v>
      </c>
      <c r="B14" s="9" t="s">
        <v>12</v>
      </c>
      <c r="C14" s="5" t="s">
        <v>443</v>
      </c>
    </row>
    <row r="15" spans="1:3" ht="16" x14ac:dyDescent="0.2">
      <c r="A15" s="8">
        <v>19</v>
      </c>
      <c r="B15" s="9" t="s">
        <v>13</v>
      </c>
      <c r="C15" s="5" t="s">
        <v>444</v>
      </c>
    </row>
    <row r="16" spans="1:3" ht="32" x14ac:dyDescent="0.2">
      <c r="A16" s="8">
        <v>20</v>
      </c>
      <c r="B16" s="9" t="s">
        <v>445</v>
      </c>
      <c r="C16" s="5" t="s">
        <v>446</v>
      </c>
    </row>
    <row r="17" spans="1:3" ht="32" x14ac:dyDescent="0.2">
      <c r="A17" s="8">
        <v>21</v>
      </c>
      <c r="B17" s="9" t="s">
        <v>96</v>
      </c>
      <c r="C17" s="5" t="s">
        <v>14</v>
      </c>
    </row>
    <row r="18" spans="1:3" ht="32" x14ac:dyDescent="0.2">
      <c r="A18" s="8">
        <v>24</v>
      </c>
      <c r="B18" s="9" t="s">
        <v>15</v>
      </c>
      <c r="C18" s="5" t="s">
        <v>16</v>
      </c>
    </row>
    <row r="19" spans="1:3" x14ac:dyDescent="0.2">
      <c r="A19" s="3"/>
      <c r="C19" s="1"/>
    </row>
    <row r="20" spans="1:3" x14ac:dyDescent="0.2">
      <c r="A20" s="3"/>
      <c r="B20" s="4"/>
    </row>
    <row r="21" spans="1:3" x14ac:dyDescent="0.2">
      <c r="A21" s="3"/>
    </row>
    <row r="22" spans="1:3" x14ac:dyDescent="0.2">
      <c r="A22" s="3"/>
    </row>
    <row r="23" spans="1:3" x14ac:dyDescent="0.2">
      <c r="A23" s="3"/>
    </row>
    <row r="24" spans="1:3" x14ac:dyDescent="0.2">
      <c r="A24" s="3"/>
    </row>
    <row r="25" spans="1:3" x14ac:dyDescent="0.2">
      <c r="A25" s="3"/>
    </row>
    <row r="26" spans="1:3" x14ac:dyDescent="0.2">
      <c r="A26" s="3"/>
    </row>
    <row r="27" spans="1:3" x14ac:dyDescent="0.2">
      <c r="A27" s="3"/>
    </row>
    <row r="28" spans="1:3" x14ac:dyDescent="0.2">
      <c r="A28" s="3"/>
    </row>
    <row r="29" spans="1:3" ht="19.5" customHeight="1" x14ac:dyDescent="0.2">
      <c r="A29" s="3"/>
    </row>
    <row r="30" spans="1:3" x14ac:dyDescent="0.2">
      <c r="A30" s="3"/>
    </row>
    <row r="31" spans="1:3" x14ac:dyDescent="0.2">
      <c r="A31" s="3"/>
    </row>
    <row r="32" spans="1:3" x14ac:dyDescent="0.2">
      <c r="A32" s="3"/>
    </row>
  </sheetData>
  <hyperlinks>
    <hyperlink ref="C13" r:id="rId1" display="https://www.mdpi.com/2073-4360/14/4/838" xr:uid="{ECB9A9D6-2B72-498C-9C5A-3F05E9241E39}"/>
    <hyperlink ref="C8" r:id="rId2" display="http://dx.doi.org/10.1590/1516-1439.235613" xr:uid="{5D0FA785-1A00-4EC6-AF46-88E1F77BD32B}"/>
    <hyperlink ref="C11" r:id="rId3" display="https://doi.org/10.3389/fmats.2019.00275" xr:uid="{609CC254-57EB-4392-9544-B92C91620266}"/>
  </hyperlinks>
  <pageMargins left="0.7" right="0.7" top="0.75" bottom="0.75" header="0.3" footer="0.3"/>
  <pageSetup paperSize="9"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EE9F1-681D-47ED-9E68-8927544C5114}">
  <dimension ref="A1:C35"/>
  <sheetViews>
    <sheetView zoomScale="120" zoomScaleNormal="120" workbookViewId="0">
      <pane ySplit="1" topLeftCell="A2" activePane="bottomLeft" state="frozen"/>
      <selection pane="bottomLeft" activeCell="C27" sqref="C27"/>
    </sheetView>
  </sheetViews>
  <sheetFormatPr baseColWidth="10" defaultColWidth="8.83203125" defaultRowHeight="15" x14ac:dyDescent="0.2"/>
  <cols>
    <col min="1" max="1" width="127.1640625" style="27" customWidth="1"/>
  </cols>
  <sheetData>
    <row r="1" spans="1:3" x14ac:dyDescent="0.2">
      <c r="A1" s="44" t="s">
        <v>132</v>
      </c>
      <c r="C1" s="16"/>
    </row>
    <row r="2" spans="1:3" ht="16" x14ac:dyDescent="0.2">
      <c r="A2" s="278" t="s">
        <v>131</v>
      </c>
    </row>
    <row r="3" spans="1:3" s="18" customFormat="1" ht="16" x14ac:dyDescent="0.2">
      <c r="A3" s="279" t="s">
        <v>128</v>
      </c>
    </row>
    <row r="4" spans="1:3" ht="16" x14ac:dyDescent="0.2">
      <c r="A4" s="279" t="s">
        <v>129</v>
      </c>
    </row>
    <row r="5" spans="1:3" s="18" customFormat="1" ht="16" x14ac:dyDescent="0.2">
      <c r="A5" s="279" t="s">
        <v>130</v>
      </c>
    </row>
    <row r="6" spans="1:3" ht="16" x14ac:dyDescent="0.2">
      <c r="A6" s="280" t="s">
        <v>144</v>
      </c>
    </row>
    <row r="7" spans="1:3" x14ac:dyDescent="0.2">
      <c r="A7" s="281" t="s">
        <v>138</v>
      </c>
    </row>
    <row r="8" spans="1:3" s="18" customFormat="1" x14ac:dyDescent="0.2">
      <c r="A8" s="281" t="s">
        <v>139</v>
      </c>
    </row>
    <row r="9" spans="1:3" x14ac:dyDescent="0.2">
      <c r="A9" s="282" t="s">
        <v>146</v>
      </c>
    </row>
    <row r="10" spans="1:3" x14ac:dyDescent="0.2">
      <c r="A10" s="282" t="s">
        <v>148</v>
      </c>
    </row>
    <row r="11" spans="1:3" x14ac:dyDescent="0.2">
      <c r="A11" s="282" t="s">
        <v>147</v>
      </c>
    </row>
    <row r="12" spans="1:3" x14ac:dyDescent="0.2">
      <c r="A12" s="281" t="s">
        <v>141</v>
      </c>
    </row>
    <row r="13" spans="1:3" x14ac:dyDescent="0.2">
      <c r="A13" s="27" t="s">
        <v>280</v>
      </c>
    </row>
    <row r="14" spans="1:3" s="18" customFormat="1" x14ac:dyDescent="0.2">
      <c r="A14" s="27" t="s">
        <v>142</v>
      </c>
    </row>
    <row r="15" spans="1:3" s="20" customFormat="1" x14ac:dyDescent="0.2">
      <c r="A15" s="27" t="s">
        <v>206</v>
      </c>
    </row>
    <row r="16" spans="1:3" x14ac:dyDescent="0.2">
      <c r="A16" s="27" t="s">
        <v>214</v>
      </c>
    </row>
    <row r="17" spans="1:1" x14ac:dyDescent="0.2">
      <c r="A17" s="27" t="s">
        <v>215</v>
      </c>
    </row>
    <row r="18" spans="1:1" s="18" customFormat="1" x14ac:dyDescent="0.2">
      <c r="A18" s="27" t="s">
        <v>217</v>
      </c>
    </row>
    <row r="19" spans="1:1" x14ac:dyDescent="0.2">
      <c r="A19" s="283" t="s">
        <v>236</v>
      </c>
    </row>
    <row r="20" spans="1:1" x14ac:dyDescent="0.2">
      <c r="A20" s="284" t="s">
        <v>234</v>
      </c>
    </row>
    <row r="21" spans="1:1" x14ac:dyDescent="0.2">
      <c r="A21" s="27" t="s">
        <v>238</v>
      </c>
    </row>
    <row r="22" spans="1:1" x14ac:dyDescent="0.2">
      <c r="A22" s="27" t="s">
        <v>239</v>
      </c>
    </row>
    <row r="23" spans="1:1" x14ac:dyDescent="0.2">
      <c r="A23" s="27" t="s">
        <v>237</v>
      </c>
    </row>
    <row r="24" spans="1:1" x14ac:dyDescent="0.2">
      <c r="A24" s="27" t="s">
        <v>272</v>
      </c>
    </row>
    <row r="25" spans="1:1" x14ac:dyDescent="0.2">
      <c r="A25" s="27" t="s">
        <v>273</v>
      </c>
    </row>
    <row r="26" spans="1:1" s="18" customFormat="1" x14ac:dyDescent="0.2">
      <c r="A26" s="27" t="s">
        <v>279</v>
      </c>
    </row>
    <row r="27" spans="1:1" x14ac:dyDescent="0.2">
      <c r="A27" s="27" t="s">
        <v>281</v>
      </c>
    </row>
    <row r="28" spans="1:1" ht="16" x14ac:dyDescent="0.2">
      <c r="A28" s="272" t="s">
        <v>294</v>
      </c>
    </row>
    <row r="29" spans="1:1" x14ac:dyDescent="0.2">
      <c r="A29" s="27" t="s">
        <v>301</v>
      </c>
    </row>
    <row r="30" spans="1:1" x14ac:dyDescent="0.2">
      <c r="A30" s="27" t="s">
        <v>311</v>
      </c>
    </row>
    <row r="31" spans="1:1" x14ac:dyDescent="0.2">
      <c r="A31" s="27" t="s">
        <v>335</v>
      </c>
    </row>
    <row r="32" spans="1:1" x14ac:dyDescent="0.2">
      <c r="A32" s="27" t="s">
        <v>336</v>
      </c>
    </row>
    <row r="33" spans="1:1" x14ac:dyDescent="0.2">
      <c r="A33" s="27" t="s">
        <v>337</v>
      </c>
    </row>
    <row r="34" spans="1:1" x14ac:dyDescent="0.2">
      <c r="A34" s="27" t="s">
        <v>338</v>
      </c>
    </row>
    <row r="35" spans="1:1" x14ac:dyDescent="0.2">
      <c r="A35" s="27" t="s">
        <v>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Φύλλα εργασίας</vt:lpstr>
      </vt:variant>
      <vt:variant>
        <vt:i4>6</vt:i4>
      </vt:variant>
    </vt:vector>
  </HeadingPairs>
  <TitlesOfParts>
    <vt:vector size="6" baseType="lpstr">
      <vt:lpstr>Materials_features</vt:lpstr>
      <vt:lpstr>Environmental Properties</vt:lpstr>
      <vt:lpstr>Biodegradation_features</vt:lpstr>
      <vt:lpstr>Time_points_features</vt:lpstr>
      <vt:lpstr>metadata</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KOTZAMPASAKI</dc:creator>
  <cp:lastModifiedBy>Marianna Kotzabasaki</cp:lastModifiedBy>
  <dcterms:created xsi:type="dcterms:W3CDTF">2015-06-05T18:19:34Z</dcterms:created>
  <dcterms:modified xsi:type="dcterms:W3CDTF">2026-06-23T04:40:16Z</dcterms:modified>
</cp:coreProperties>
</file>